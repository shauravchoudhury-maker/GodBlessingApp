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aur\Downloads\GodBlessingApp\"/>
    </mc:Choice>
  </mc:AlternateContent>
  <xr:revisionPtr revIDLastSave="0" documentId="13_ncr:1_{1F5A1B4C-E594-400F-96A1-8BB6442BA19B}" xr6:coauthVersionLast="47" xr6:coauthVersionMax="47" xr10:uidLastSave="{00000000-0000-0000-0000-000000000000}"/>
  <bookViews>
    <workbookView xWindow="-98" yWindow="-98" windowWidth="20715" windowHeight="13155" xr2:uid="{00000000-000D-0000-FFFF-FFFF00000000}"/>
  </bookViews>
  <sheets>
    <sheet name="README" sheetId="1" r:id="rId1"/>
    <sheet name="Dashboard" sheetId="2" r:id="rId2"/>
    <sheet name="Organisations" sheetId="3" r:id="rId3"/>
    <sheet name="Countries" sheetId="4" r:id="rId4"/>
    <sheet name="Templates" sheetId="5" r:id="rId5"/>
    <sheet name="Log" sheetId="6" r:id="rId6"/>
  </sheets>
  <definedNames>
    <definedName name="_xlnm._FilterDatabase" localSheetId="2" hidden="1">Organisations!$A$1:$Q$97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P10" i="4"/>
  <c r="O10" i="4"/>
  <c r="N10" i="4"/>
  <c r="M10" i="4"/>
  <c r="L10" i="4"/>
  <c r="K10" i="4"/>
  <c r="P9" i="4"/>
  <c r="O9" i="4"/>
  <c r="N9" i="4"/>
  <c r="M9" i="4"/>
  <c r="L9" i="4"/>
  <c r="K9" i="4"/>
  <c r="P8" i="4"/>
  <c r="O8" i="4"/>
  <c r="N8" i="4"/>
  <c r="M8" i="4"/>
  <c r="L8" i="4"/>
  <c r="K8" i="4"/>
  <c r="P7" i="4"/>
  <c r="O7" i="4"/>
  <c r="N7" i="4"/>
  <c r="M7" i="4"/>
  <c r="L7" i="4"/>
  <c r="K7" i="4"/>
  <c r="P6" i="4"/>
  <c r="O6" i="4"/>
  <c r="N6" i="4"/>
  <c r="M6" i="4"/>
  <c r="L6" i="4"/>
  <c r="K6" i="4"/>
  <c r="P5" i="4"/>
  <c r="O5" i="4"/>
  <c r="N5" i="4"/>
  <c r="M5" i="4"/>
  <c r="L5" i="4"/>
  <c r="K5" i="4"/>
  <c r="P4" i="4"/>
  <c r="O4" i="4"/>
  <c r="N4" i="4"/>
  <c r="M4" i="4"/>
  <c r="L4" i="4"/>
  <c r="K4" i="4"/>
  <c r="P3" i="4"/>
  <c r="O3" i="4"/>
  <c r="N3" i="4"/>
  <c r="M3" i="4"/>
  <c r="L3" i="4"/>
  <c r="K3" i="4"/>
  <c r="P2" i="4"/>
  <c r="O2" i="4"/>
  <c r="N2" i="4"/>
  <c r="M2" i="4"/>
  <c r="L2" i="4"/>
  <c r="K2" i="4"/>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M2" i="3"/>
  <c r="N2" i="3" s="1"/>
  <c r="B32" i="2"/>
  <c r="B31" i="2"/>
  <c r="B30" i="2"/>
  <c r="B29" i="2"/>
  <c r="G24" i="2"/>
  <c r="F24" i="2"/>
  <c r="E24" i="2"/>
  <c r="D24" i="2"/>
  <c r="C24" i="2"/>
  <c r="B24" i="2"/>
  <c r="G23" i="2"/>
  <c r="F23" i="2"/>
  <c r="E23" i="2"/>
  <c r="D23" i="2"/>
  <c r="C23" i="2"/>
  <c r="B23" i="2"/>
  <c r="G22" i="2"/>
  <c r="F22" i="2"/>
  <c r="E22" i="2"/>
  <c r="D22" i="2"/>
  <c r="C22" i="2"/>
  <c r="B22" i="2"/>
  <c r="G21" i="2"/>
  <c r="F21" i="2"/>
  <c r="E21" i="2"/>
  <c r="D21" i="2"/>
  <c r="C21" i="2"/>
  <c r="B21" i="2"/>
  <c r="G20" i="2"/>
  <c r="F20" i="2"/>
  <c r="E20" i="2"/>
  <c r="D20" i="2"/>
  <c r="C20" i="2"/>
  <c r="B20" i="2"/>
  <c r="G19" i="2"/>
  <c r="F19" i="2"/>
  <c r="E19" i="2"/>
  <c r="D19" i="2"/>
  <c r="C19" i="2"/>
  <c r="B19" i="2"/>
  <c r="G18" i="2"/>
  <c r="F18" i="2"/>
  <c r="E18" i="2"/>
  <c r="D18" i="2"/>
  <c r="C18" i="2"/>
  <c r="B18" i="2"/>
  <c r="G17" i="2"/>
  <c r="F17" i="2"/>
  <c r="E17" i="2"/>
  <c r="D17" i="2"/>
  <c r="C17" i="2"/>
  <c r="B17" i="2"/>
  <c r="G16" i="2"/>
  <c r="G25" i="2" s="1"/>
  <c r="F16" i="2"/>
  <c r="E16" i="2"/>
  <c r="E25" i="2" s="1"/>
  <c r="D16" i="2"/>
  <c r="D25" i="2" s="1"/>
  <c r="C16" i="2"/>
  <c r="C25" i="2" s="1"/>
  <c r="B16" i="2"/>
  <c r="B25" i="2" s="1"/>
  <c r="B12" i="2"/>
  <c r="B11" i="2"/>
  <c r="B10" i="2"/>
  <c r="B9" i="2"/>
  <c r="B8" i="2"/>
  <c r="B7" i="2"/>
  <c r="B6" i="2"/>
  <c r="B5" i="2"/>
  <c r="F25" i="2" l="1"/>
</calcChain>
</file>

<file path=xl/sharedStrings.xml><?xml version="1.0" encoding="utf-8"?>
<sst xmlns="http://schemas.openxmlformats.org/spreadsheetml/2006/main" count="944" uniqueCount="346">
  <si>
    <t>EverVerse — guide recruitment through faith organisations</t>
  </si>
  <si>
    <t>Nine starter countries · built 13 September 2026 from RECRUIT.txt · one-pager: eververse.org/partners.html</t>
  </si>
  <si>
    <t>How to use this workbook</t>
  </si>
  <si>
    <t>1. Organisations — the working list. Yellow cells are yours to fill: Website, Contact email, Source URL, Approved, Status, dates, Outcome, Notes. Everything else was pre-filled and can be edited too.</t>
  </si>
  <si>
    <t>2. Find each contact address on the organisation's OFFICIAL website the day you write, and paste the page you found it on into Source URL. Do not scrape or buy lists. Addresses go stale; a guessed one bounces or lands with the wrong person.</t>
  </si>
  <si>
    <t>3. Set Approved = Y once the name and address are confirmed. Nothing is sent to a row that is not approved.</t>
  </si>
  <si>
    <t>4. When you send, put the date in Sent. Follow-up due fills itself (+10 days). One follow-up, then stop. Log the reply date and a one-word Outcome — never paste a reply's contents.</t>
  </si>
  <si>
    <t>5. Dashboard counts everything by country and by ask. Countries shows what each starter still needs (from regions.js on the build date).</t>
  </si>
  <si>
    <t>6. Templates holds the emails. Send from team@eververse.org, signed 'EverVerse Team'. Spanish, Portuguese and Indonesian are DRAFTS — a native speaker reads them before the first send.</t>
  </si>
  <si>
    <t>Legend</t>
  </si>
  <si>
    <t>Yellow fill = a cell for you to fill in.   Blue text = a value you can change (dropdown or date).   Black = pre-filled or a formula.</t>
  </si>
  <si>
    <t>Fit codes: G = can send guides · L = can verify the crisis helpline · N = native speaker to review crisis patterns · C = can confirm a guide's affiliation when we ring.</t>
  </si>
  <si>
    <t>Status values: new → address found → approved → sent → followed up → replied → done | declined | bounced.</t>
  </si>
  <si>
    <t>Rules before any email goes out (from RECRUIT.txt)</t>
  </si>
  <si>
    <t>1. Send from team@eververse.org, signed "EverVerse Team". Never a personal</t>
  </si>
  <si>
    <t xml:space="preserve">   name (safeguarding.html, 13 Sep 2026).</t>
  </si>
  <si>
    <t>2. Every sentence passes checkCampaignCopy() in campaign.js and</t>
  </si>
  <si>
    <t xml:space="preserve">   checkGivingCopy() in giving.js. Run the final text through both before</t>
  </si>
  <si>
    <t xml:space="preserve">   the first send: no clinical words, no numbers we cannot show, no</t>
  </si>
  <si>
    <t xml:space="preserve">   urgency, no promises about outcomes, no "AI-powered" anything.</t>
  </si>
  <si>
    <t>3. Do not promise that the Circle is open in their country. It is not.</t>
  </si>
  <si>
    <t xml:space="preserve">   Say what it needs (regions.js says exactly what, per country) and ask</t>
  </si>
  <si>
    <t xml:space="preserve">   for it.</t>
  </si>
  <si>
    <t>4. Never list an organisation on the site as a partner until there is a</t>
  </si>
  <si>
    <t xml:space="preserve">   written agreement (giving.js PARTNERS rule). An email reply is not one.</t>
  </si>
  <si>
    <t>5. Contact addresses: NOT in this file, on purpose. Every organisation</t>
  </si>
  <si>
    <t xml:space="preserve">   below has an official website with a contact page or a named office;</t>
  </si>
  <si>
    <t xml:space="preserve">   find it there the day you send, because addresses go stale and a</t>
  </si>
  <si>
    <t xml:space="preserve">   guessed one bounces or, worse, lands with the wrong person. Do not</t>
  </si>
  <si>
    <t xml:space="preserve">   scrape or buy lists.</t>
  </si>
  <si>
    <t>6. One organisation, one email, one follow-up after 10 days, then stop.</t>
  </si>
  <si>
    <t xml:space="preserve">   Log every send in the table at the bottom. Reply to every reply within</t>
  </si>
  <si>
    <t xml:space="preserve">   two working days, as a person.</t>
  </si>
  <si>
    <t>7. If an organisation asks "is it paid?" the answer is on guides.html and</t>
  </si>
  <si>
    <t xml:space="preserve">   it is No. If they ask for money, the answer is also no — we take</t>
  </si>
  <si>
    <t xml:space="preserve">   nothing from gifts and pay nobody. If they offer help with helpline</t>
  </si>
  <si>
    <t xml:space="preserve">   verification or a native-speaker review, say yes before anything else.</t>
  </si>
  <si>
    <t>Order of work</t>
  </si>
  <si>
    <t>Week 1: US, IN, PH (English reaches furthest; three faiths).</t>
  </si>
  <si>
    <t>Week 2: BR, MX (Portuguese and Spanish drafts below — have a native</t>
  </si>
  <si>
    <t xml:space="preserve">        speaker read them first; do not send a machine translation).</t>
  </si>
  <si>
    <t>Week 3: NG, KE, ZA (English).</t>
  </si>
  <si>
    <t>Week 4: ID (Indonesian draft below, same rule), plus follow-ups.</t>
  </si>
  <si>
    <t>Every week: open Health, read the Regions panel, and put the guide count</t>
  </si>
  <si>
    <t>per country in the log. The campaign is working when applications7d is</t>
  </si>
  <si>
    <t>above 1 and stays there.</t>
  </si>
  <si>
    <t>Recruitment dashboard</t>
  </si>
  <si>
    <t>All numbers are formulas over the Organisations sheet. Update that sheet; this one follows.</t>
  </si>
  <si>
    <t>Measure</t>
  </si>
  <si>
    <t>Value</t>
  </si>
  <si>
    <t>Organisations listed</t>
  </si>
  <si>
    <t>Address found</t>
  </si>
  <si>
    <t>Approved</t>
  </si>
  <si>
    <t>Sent</t>
  </si>
  <si>
    <t>Follow-ups due (sent ≥10 days ago, no reply)</t>
  </si>
  <si>
    <t>Replied</t>
  </si>
  <si>
    <t>Reply rate</t>
  </si>
  <si>
    <t>Declined / bounced</t>
  </si>
  <si>
    <t>Country</t>
  </si>
  <si>
    <t>Listed</t>
  </si>
  <si>
    <t>Can verify line</t>
  </si>
  <si>
    <t>Native reviewers</t>
  </si>
  <si>
    <t>United States</t>
  </si>
  <si>
    <t>Brazil</t>
  </si>
  <si>
    <t>Mexico</t>
  </si>
  <si>
    <t>India</t>
  </si>
  <si>
    <t>Philippines</t>
  </si>
  <si>
    <t>Indonesia</t>
  </si>
  <si>
    <t>Nigeria</t>
  </si>
  <si>
    <t>Kenya</t>
  </si>
  <si>
    <t>South Africa</t>
  </si>
  <si>
    <t>Total</t>
  </si>
  <si>
    <t>By ask</t>
  </si>
  <si>
    <t>Organisations that fit</t>
  </si>
  <si>
    <t>G — can send guides</t>
  </si>
  <si>
    <t>L — can verify the crisis line</t>
  </si>
  <si>
    <t>N — native speaker for pattern review</t>
  </si>
  <si>
    <t>C — can confirm affiliations</t>
  </si>
  <si>
    <t>#</t>
  </si>
  <si>
    <t>CC</t>
  </si>
  <si>
    <t>Organisation</t>
  </si>
  <si>
    <t>Faith</t>
  </si>
  <si>
    <t>Fit (G/L/N/C)</t>
  </si>
  <si>
    <t>Why / note</t>
  </si>
  <si>
    <t>Website</t>
  </si>
  <si>
    <t>Contact email</t>
  </si>
  <si>
    <t>Source URL (page the address came from)</t>
  </si>
  <si>
    <t>Approved (Y/N)</t>
  </si>
  <si>
    <t>Status</t>
  </si>
  <si>
    <t>Sent (date)</t>
  </si>
  <si>
    <t>Follow-up due</t>
  </si>
  <si>
    <t>Replied (date)</t>
  </si>
  <si>
    <t>Outcome</t>
  </si>
  <si>
    <t>Notes</t>
  </si>
  <si>
    <t>ex.</t>
  </si>
  <si>
    <t>US</t>
  </si>
  <si>
    <t>EXAMPLE — Stephen Ministries (delete this row)</t>
  </si>
  <si>
    <t>Christian</t>
  </si>
  <si>
    <t>G, C</t>
  </si>
  <si>
    <t>example row showing the expected format</t>
  </si>
  <si>
    <t>https://www.stephenministries.org</t>
  </si>
  <si>
    <t>info@example.org</t>
  </si>
  <si>
    <t>https://www.stephenministries.org/contact</t>
  </si>
  <si>
    <t>Y</t>
  </si>
  <si>
    <t>sent</t>
  </si>
  <si>
    <t>example only</t>
  </si>
  <si>
    <t>Stephen Ministries</t>
  </si>
  <si>
    <t>lay caring ministry — the single closest thing to a guide that already exists; 600k trained</t>
  </si>
  <si>
    <t>N</t>
  </si>
  <si>
    <t>new</t>
  </si>
  <si>
    <t>Catholic Charities USA / diocesan offices</t>
  </si>
  <si>
    <t>National Council of Churches USA</t>
  </si>
  <si>
    <t>G</t>
  </si>
  <si>
    <t>forwards to 37 denominations</t>
  </si>
  <si>
    <t>Association of Professional Chaplains</t>
  </si>
  <si>
    <t>All</t>
  </si>
  <si>
    <t>G, N</t>
  </si>
  <si>
    <t>chaplains want service records</t>
  </si>
  <si>
    <t>ACPE (clinical pastoral education)</t>
  </si>
  <si>
    <t>CPE students need hours; the letter of service is the pitch</t>
  </si>
  <si>
    <t>Islamic Society of North America (ISNA)</t>
  </si>
  <si>
    <t>Islam</t>
  </si>
  <si>
    <t>Hindu American Foundation</t>
  </si>
  <si>
    <t>Hindu</t>
  </si>
  <si>
    <t>BAPS Swaminarayan Sanstha (US temples)</t>
  </si>
  <si>
    <t>strong volunteer culture, Gujarati</t>
  </si>
  <si>
    <t>Sikh Coalition / United Sikhs</t>
  </si>
  <si>
    <t>Sikh</t>
  </si>
  <si>
    <t>Punjabi</t>
  </si>
  <si>
    <t>Jewish Federations of North America / Jewish Family Service</t>
  </si>
  <si>
    <t>Jewish</t>
  </si>
  <si>
    <t>Buddhist Churches of America</t>
  </si>
  <si>
    <t>Buddhist</t>
  </si>
  <si>
    <t>988 Lifeline (Vibrant Emotional Health)</t>
  </si>
  <si>
    <t>L</t>
  </si>
  <si>
    <t>verify our US entry</t>
  </si>
  <si>
    <t>Spanish-speaking: Hispanic Ministry offices of the USCCB; Hermanas/Assemblies of God Hispanic districts</t>
  </si>
  <si>
    <t>G, N (es)</t>
  </si>
  <si>
    <t>BR</t>
  </si>
  <si>
    <t>CNBB — Conferência Nacional dos Bispos do Brasil</t>
  </si>
  <si>
    <t>Cáritas Brasileira</t>
  </si>
  <si>
    <t>Pastoral da Saúde / Pastoral da Escuta</t>
  </si>
  <si>
    <t>already do "listening" ministry in hospitals</t>
  </si>
  <si>
    <t>Convenção Geral das Assembleias de Deus (CGADB)</t>
  </si>
  <si>
    <t>Igreja Presbiteriana do Brasil</t>
  </si>
  <si>
    <t>CVV — Centro de Valorização da Vida</t>
  </si>
  <si>
    <t>L, G</t>
  </si>
  <si>
    <t>runs the 188 line; volunteer listeners; verify our entry</t>
  </si>
  <si>
    <t>FAMBRAS — Federação das Associações Muçulmanas do Brasil</t>
  </si>
  <si>
    <t>CONIB — Confederação Israelita do Brasil</t>
  </si>
  <si>
    <t>Faculdades de teologia (PUC-Rio, EST São Leopoldo)</t>
  </si>
  <si>
    <t>G (students), N (pt)</t>
  </si>
  <si>
    <t>MX</t>
  </si>
  <si>
    <t>CEM — Conferencia del Episcopado Mexicano</t>
  </si>
  <si>
    <t>Cáritas Mexicana</t>
  </si>
  <si>
    <t>CONFRATERNICE — Confraternidad Nacional de Iglesias Cristianas Evangélicas</t>
  </si>
  <si>
    <t>Consejo Interreligioso de México</t>
  </si>
  <si>
    <t>one door to several faiths</t>
  </si>
  <si>
    <t>Comité Central de la Comunidad Judía de México</t>
  </si>
  <si>
    <t>Centro Cultural Islámico de México</t>
  </si>
  <si>
    <t>SAPTEL</t>
  </si>
  <si>
    <t>runs the line we show; verify our entry</t>
  </si>
  <si>
    <t>Universidad Pontificia de México / seminarios diocesanos</t>
  </si>
  <si>
    <t>G (students), N (es)</t>
  </si>
  <si>
    <t>IN</t>
  </si>
  <si>
    <t>CBCI — Catholic Bishops' Conference of India</t>
  </si>
  <si>
    <t>Caritas India</t>
  </si>
  <si>
    <t>National Council of Churches in India</t>
  </si>
  <si>
    <t>Ramakrishna Mission</t>
  </si>
  <si>
    <t>service ethic, many languages</t>
  </si>
  <si>
    <t>Chinmaya Mission</t>
  </si>
  <si>
    <t>ISKCON (India temples)</t>
  </si>
  <si>
    <t>The Art of Living</t>
  </si>
  <si>
    <t>very large volunteer base</t>
  </si>
  <si>
    <t>Ismaili Council for India / AKDN</t>
  </si>
  <si>
    <t>strong volunteer tradition</t>
  </si>
  <si>
    <t>Muslim Educational Society (Kerala)</t>
  </si>
  <si>
    <t>Malayalam</t>
  </si>
  <si>
    <t>SGPC (Amritsar) / DSGMC (Delhi)</t>
  </si>
  <si>
    <t>Khalsa Aid</t>
  </si>
  <si>
    <t>Maha Bodhi Society of India</t>
  </si>
  <si>
    <t>Tele-MANAS (Ministry of Health)</t>
  </si>
  <si>
    <t>the 14416 line we show; verify our entry</t>
  </si>
  <si>
    <t>AASRA / Sneha (Chennai) / Vandrevala Foundation</t>
  </si>
  <si>
    <t>L, N</t>
  </si>
  <si>
    <t>helpline charities; Tamil, Hindi, Marathi speakers</t>
  </si>
  <si>
    <t>Seminaries: UTC Bangalore, Gurukul Chennai</t>
  </si>
  <si>
    <t>G (students), N (ta, kn)</t>
  </si>
  <si>
    <t>PH</t>
  </si>
  <si>
    <t>CBCP — Catholic Bishops' Conference of the Philippines</t>
  </si>
  <si>
    <t>Caritas Philippines</t>
  </si>
  <si>
    <t>Couples for Christ</t>
  </si>
  <si>
    <t>huge lay volunteer base</t>
  </si>
  <si>
    <t>PCEC — Philippine Council of Evangelical Churches</t>
  </si>
  <si>
    <t>Jesuit campus ministries (Ateneo), UST Center for Campus Ministry</t>
  </si>
  <si>
    <t>G (students), N (tl)</t>
  </si>
  <si>
    <t>NCMF — National Commission on Muslim Filipinos</t>
  </si>
  <si>
    <t>In Touch Community Services</t>
  </si>
  <si>
    <t>volunteer crisis line</t>
  </si>
  <si>
    <t>NCMH Crisis Hotline (1553)</t>
  </si>
  <si>
    <t>verify our entry</t>
  </si>
  <si>
    <t>ID</t>
  </si>
  <si>
    <t>Nahdlatul Ulama (NU)</t>
  </si>
  <si>
    <t>largest; ask for LAZISNU / youth wing</t>
  </si>
  <si>
    <t>Muhammadiyah</t>
  </si>
  <si>
    <t>hospitals and universities; volunteer culture</t>
  </si>
  <si>
    <t>Dompet Dhuafa</t>
  </si>
  <si>
    <t>volunteers; welfare</t>
  </si>
  <si>
    <t>PGI — Persekutuan Gereja-gereja di Indonesia</t>
  </si>
  <si>
    <t>KWI — Konferensi Waligereja Indonesia</t>
  </si>
  <si>
    <t>WALUBI</t>
  </si>
  <si>
    <t>Into The Light Indonesia</t>
  </si>
  <si>
    <t>suicide-prevention community; verify SEJIWA 119 ext 8</t>
  </si>
  <si>
    <t>Islamic universities (UIN Jakarta / UIN Yogyakarta) counselling faculties</t>
  </si>
  <si>
    <t>G (students), N (id)</t>
  </si>
  <si>
    <t>NG</t>
  </si>
  <si>
    <t>CAN — Christian Association of Nigeria</t>
  </si>
  <si>
    <t>Catholic Bishops' Conference of Nigeria</t>
  </si>
  <si>
    <t>RCCG — Redeemed Christian Church of God</t>
  </si>
  <si>
    <t>thousands of parishes; Yoruba</t>
  </si>
  <si>
    <t>Living Faith Church (Winners' Chapel)</t>
  </si>
  <si>
    <t>Nigerian Baptist Convention</t>
  </si>
  <si>
    <t>NSCIA — Nigerian Supreme Council for Islamic Affairs</t>
  </si>
  <si>
    <t>JNI — Jama'atu Nasril Islam</t>
  </si>
  <si>
    <t>Hausa</t>
  </si>
  <si>
    <t>NASFAT</t>
  </si>
  <si>
    <t>large, Yoruba-speaking, welfare arm</t>
  </si>
  <si>
    <t>FOMWAN — Federation of Muslim Women's Associations</t>
  </si>
  <si>
    <t>G, C, N (ha)</t>
  </si>
  <si>
    <t>MANI — Mentally Aware Nigeria Initiative</t>
  </si>
  <si>
    <t>the people to ask which line to show</t>
  </si>
  <si>
    <t>NSPI — Nigeria Suicide Prevention Initiative</t>
  </si>
  <si>
    <t>NIFES — Nigerian Fellowship of Evangelical Students</t>
  </si>
  <si>
    <t>G (students)</t>
  </si>
  <si>
    <t>KE</t>
  </si>
  <si>
    <t>IRCK — Inter-Religious Council of Kenya</t>
  </si>
  <si>
    <t>one door to every faith</t>
  </si>
  <si>
    <t>NCCK — National Council of Churches of Kenya</t>
  </si>
  <si>
    <t>KCCB — Kenya Conference of Catholic Bishops</t>
  </si>
  <si>
    <t>Anglican Church of Kenya</t>
  </si>
  <si>
    <t>Evangelical Alliance of Kenya</t>
  </si>
  <si>
    <t>SUPKEM — Supreme Council of Kenya Muslims</t>
  </si>
  <si>
    <t>CIPK — Council of Imams and Preachers</t>
  </si>
  <si>
    <t>Swahili</t>
  </si>
  <si>
    <t>Befrienders Kenya</t>
  </si>
  <si>
    <t>volunteer listeners</t>
  </si>
  <si>
    <t>Kenya Red Cross (1199)</t>
  </si>
  <si>
    <t>St Paul's University (Limuru) theology</t>
  </si>
  <si>
    <t>G (students), N (sw)</t>
  </si>
  <si>
    <t>ZA</t>
  </si>
  <si>
    <t>SACC — South African Council of Churches</t>
  </si>
  <si>
    <t>SACBC — Southern African Catholic Bishops' Conference</t>
  </si>
  <si>
    <t>Methodist Church of Southern Africa</t>
  </si>
  <si>
    <t>Zulu</t>
  </si>
  <si>
    <t>Dutch Reformed Church (NG Kerk)</t>
  </si>
  <si>
    <t>MJC — Muslim Judicial Council</t>
  </si>
  <si>
    <t>Jamiatul Ulama South Africa</t>
  </si>
  <si>
    <t>South African Hindu Maha Sabha</t>
  </si>
  <si>
    <t>Ramakrishna Centre of South Africa</t>
  </si>
  <si>
    <t>SA Jewish Board of Deputies</t>
  </si>
  <si>
    <t>SADAG (0800 567 567)</t>
  </si>
  <si>
    <t>LifeLine South Africa</t>
  </si>
  <si>
    <t>volunteer counsellors — natural guides</t>
  </si>
  <si>
    <t>National Religious Leaders Council</t>
  </si>
  <si>
    <t>C</t>
  </si>
  <si>
    <t>Organisation names were compiled from memory on 13 Sep 2026 — confirm each on its official website before writing. No contact address is pre-filled on purpose.</t>
  </si>
  <si>
    <t>Region</t>
  </si>
  <si>
    <t>Languages (* = patterns unreviewed)</t>
  </si>
  <si>
    <t>Crisis line shown</t>
  </si>
  <si>
    <t>Line name</t>
  </si>
  <si>
    <t>Line status</t>
  </si>
  <si>
    <t>Readiness (13 Sep 2026)</t>
  </si>
  <si>
    <t>Next step</t>
  </si>
  <si>
    <t>Everything missing</t>
  </si>
  <si>
    <t>Orgs listed</t>
  </si>
  <si>
    <t>Can verify line (L)</t>
  </si>
  <si>
    <t>Native reviewers (N)</t>
  </si>
  <si>
    <t>Americas</t>
  </si>
  <si>
    <t>en, es*</t>
  </si>
  <si>
    <t>988</t>
  </si>
  <si>
    <t>Suicide &amp; Crisis Lifeline</t>
  </si>
  <si>
    <t>unverified</t>
  </si>
  <si>
    <t>red</t>
  </si>
  <si>
    <t>crisis line not yet verified by a person in United States</t>
  </si>
  <si>
    <t>crisis line not yet verified by a person in United States | no active guide writes in en</t>
  </si>
  <si>
    <t>pt*</t>
  </si>
  <si>
    <t>188</t>
  </si>
  <si>
    <t>crisis line not yet verified by a person in Brazil</t>
  </si>
  <si>
    <t>crisis line not yet verified by a person in Brazil | crisis patterns in pt not yet read by a native speaker | no active guide writes in pt</t>
  </si>
  <si>
    <t>es*</t>
  </si>
  <si>
    <t>800 911 2000</t>
  </si>
  <si>
    <t>crisis line not yet verified by a person in Mexico</t>
  </si>
  <si>
    <t>crisis line not yet verified by a person in Mexico | crisis patterns in es not yet read by a native speaker | no active guide writes in es</t>
  </si>
  <si>
    <t>Asia</t>
  </si>
  <si>
    <t>hi*, en, bn*, te*, mr*, ta*, gu*, ur*, ml*, pa*</t>
  </si>
  <si>
    <t>14416</t>
  </si>
  <si>
    <t>Tele-MANAS</t>
  </si>
  <si>
    <t>crisis line not yet verified by a person in India</t>
  </si>
  <si>
    <t>crisis line not yet verified by a person in India | crisis patterns in hi not yet read by a native speaker | no active guide writes in hi</t>
  </si>
  <si>
    <t>tl*, en</t>
  </si>
  <si>
    <t>1553</t>
  </si>
  <si>
    <t>NCMH Crisis Hotline</t>
  </si>
  <si>
    <t>crisis line not yet verified by a person in Philippines</t>
  </si>
  <si>
    <t>crisis line not yet verified by a person in Philippines | crisis patterns in tl not yet read by a native speaker | no active guide writes in tl</t>
  </si>
  <si>
    <t>id*</t>
  </si>
  <si>
    <t>119</t>
  </si>
  <si>
    <t>Kemenkes SEJIWA</t>
  </si>
  <si>
    <t>crisis line not yet verified by a person in Indonesia</t>
  </si>
  <si>
    <t>crisis line not yet verified by a person in Indonesia | crisis patterns in id not yet read by a native speaker | no active guide writes in id</t>
  </si>
  <si>
    <t>Africa</t>
  </si>
  <si>
    <t>en, ha*, yo*</t>
  </si>
  <si>
    <t>emergency only 112</t>
  </si>
  <si>
    <t>emergency-only</t>
  </si>
  <si>
    <t>no crisis line, only an emergency number — find one, then verify it</t>
  </si>
  <si>
    <t>no crisis line, only an emergency number — find one, then verify it | no active guide writes in en</t>
  </si>
  <si>
    <t>sw*, en</t>
  </si>
  <si>
    <t>1199</t>
  </si>
  <si>
    <t>Kenya Red Cross mental health line</t>
  </si>
  <si>
    <t>crisis line not yet verified by a person in Kenya</t>
  </si>
  <si>
    <t>crisis line not yet verified by a person in Kenya | crisis patterns in sw not yet read by a native speaker | no active guide writes in sw</t>
  </si>
  <si>
    <t>en, zu*</t>
  </si>
  <si>
    <t>0800 567 567</t>
  </si>
  <si>
    <t>SADAG</t>
  </si>
  <si>
    <t>crisis line not yet verified by a person in South Africa</t>
  </si>
  <si>
    <t>crisis line not yet verified by a person in South Africa | no active guide writes in en</t>
  </si>
  <si>
    <t>Readiness, next step and crisis line are a snapshot from regions.js / world.js on 13 Sep 2026; the live truth is the Regions panel on the Health screen. Green needs: verified line + patterns reviewed + 3 guides in one of its languages.</t>
  </si>
  <si>
    <t>Email templates — send from team@eververse.org, signed EverVerse Team</t>
  </si>
  <si>
    <t>Fill [placeholders] per organisation. The English email passes checkCampaignCopy() and checkGivingCopy(); if you edit it, run it through both again (campaign.js / giving.js). Translations are drafts until a native speaker has read them.</t>
  </si>
  <si>
    <t>English — main</t>
  </si>
  <si>
    <t>THE EMAIL (English)
-------------------
From:    EverVerse Team &lt;team@eververse.org&gt;
Subject: One of your people, one blessing — a volunteer ask from EverVerse
Dear [office / name of the ministry or council],
Someone in your tradition is going to write, tonight, about the worst
thing in their life — a death, an illness, a marriage ending, a faith gone
quiet — and hope that a real person writes back.
We run the Blessing Circle at eververse.org: a free service where an adult
writes anonymously, and a checked volunteer from their own faith writes
back once, with a verse from their own scripture and a few honest words of
their own. No account, nothing to buy, and no AI writes a single word — we
say that on our front door.
We are opening it in [country] and we would rather do it with you than
around you. Three asks, in order of size:
  1. Ten people in your community who have carried something and could
     each write one blessing. Not clergy necessarily. Ten minutes to
     apply, and a person reads every application: eververse.org/guides.html
  2. One hour from one person who lives in [country]: to check that the
     crisis helpline we show — [line as in world.js] — is the right one,
     and to read the phrases we use to recognise crisis in [language].
     We will not promote the Circle in [country] until both are done.
  3. If a volunteer says they serve with you, may we ring you to confirm
     it? Their card then says "confirmed with [organisation]" to the
     stranger they write to.
What we promise is on one page, written for exactly this conversation:
eververse.org/partners.html. Every guide confirms their identity before
their first reply (we pay for the check); a new guide sees only
celebrations until a person has read their first three replies; a reply
cannot contain a phone number, a link or a request for money; and anyone
can report anything in one tap, to a person. Guides are not paid and the
person asking never pays. Each guide can print a signed letter of service.
If any of the three is possible, reply to this address and a person will
answer. If none is, thank you for reading this far.
EverVerse Team
team@eververse.org · eververse.org/partners.html</t>
  </si>
  <si>
    <t>English — follow-up (day 10)</t>
  </si>
  <si>
    <t>FOLLOW-UP (day 10, once)
------------------------
Subject: Re: One of your people, one blessing
Dear [name],
A short follow-up in case the note below reached a busy inbox. The
smallest of the three asks is the one hour on the helpline and the
language — it is the thing that lets us open [country] safely. If there
is someone we could speak to for that alone, we would be grateful.
EverVerse Team</t>
  </si>
  <si>
    <t>Spanish draft (MX) — native review before sending</t>
  </si>
  <si>
    <t>EMAIL — Spanish draft (MX). HAVE A NATIVE SPEAKER READ IT BEFORE SENDING.
-------------------------------------------------------------------------
Asunto: Una persona de su comunidad, una bendición — una petición de voluntariado de EverVerse
Estimados [oficina / nombre]:
Esta noche alguien de su tradición va a escribir sobre lo peor que le está
pasando — una muerte, una enfermedad, un matrimonio que se rompe, una fe
que se ha quedado en silencio — con la esperanza de que una persona real
le responda.
En eververse.org tenemos el Círculo de Bendiciones: un servicio gratuito
donde un adulto escribe de forma anónima y un voluntario verificado de su
misma fe le responde una sola vez, con un versículo de su propia escritura
y unas palabras honestas suyas. Sin cuenta, sin nada que comprar, y sin
que ninguna inteligencia artificial escriba una sola palabra.
Queremos abrirlo en México con ustedes. Tres peticiones, de mayor a menor:
  1. Diez personas de su comunidad que hayan pasado por algo difícil y
     puedan escribir una bendición cada una. No hace falta ser clérigo.
     Diez minutos para aplicar; una persona lee cada solicitud:
     eververse.org/guides.html
  2. Una hora de una persona que viva en México: para confirmar que la
     línea de crisis que mostramos — SAPTEL, 800 911 2000 — es la correcta,
     y para leer las frases con las que reconocemos una crisis en español.
     No promoveremos el Círculo en México hasta que ambas cosas estén hechas.
  3. Si un voluntario dice que sirve con ustedes, ¿podemos llamarles para
     confirmarlo?
Lo que prometemos está en una página: eververse.org/partners.html. Los
guías no reciben pago y quien escribe nunca paga.
Si alguna de las tres es posible, respondan a esta dirección y una persona
les contestará.
Equipo de EverVerse · team@eververse.org</t>
  </si>
  <si>
    <t>Portuguese draft (BR) — native review before sending</t>
  </si>
  <si>
    <t>EMAIL — Portuguese draft (BR). HAVE A NATIVE SPEAKER READ IT BEFORE SENDING.
----------------------------------------------------------------------------
Assunto: Uma pessoa da sua comunidade, uma bênção — um pedido de voluntariado da EverVerse
Prezados [secretaria / nome]:
Hoje à noite alguém da sua tradição vai escrever sobre a pior coisa da sua
vida — uma morte, uma doença, um casamento que acaba, uma fé que
silenciou — na esperança de que uma pessoa de verdade responda.
Em eververse.org mantemos o Círculo de Bênçãos: um serviço gratuito em que
um adulto escreve de forma anônima e um voluntário verificado da sua
própria fé responde uma única vez, com um versículo da própria escritura e
algumas palavras honestas suas. Sem cadastro, sem nada para comprar, e sem
que nenhuma inteligência artificial escreva uma palavra sequer.
Queremos abri-lo no Brasil com vocês. Três pedidos, do maior ao menor:
  1. Dez pessoas da sua comunidade que já carregaram algo difícil e possam
     escrever uma bênção cada. Não precisa ser clero. Dez minutos para se
     candidatar; uma pessoa lê cada candidatura: eververse.org/guides.html
  2. Uma hora de uma pessoa que more no Brasil: para confirmar que a linha
     de crise que mostramos — CVV, 188 — é a correta, e para ler as frases
     com que reconhecemos uma crise em português. Não divulgaremos o
     Círculo no Brasil até que as duas coisas estejam feitas.
  3. Se um voluntário disser que serve com vocês, podemos ligar para
     confirmar?
O que prometemos está em uma página: eververse.org/partners.html. Os guias
não são pagos e quem escreve nunca paga.
Se qualquer um dos três for possível, respondam a este endereço e uma
pessoa vai responder.
Equipe EverVerse · team@eververse.org</t>
  </si>
  <si>
    <t>Indonesian draft (ID) — native review before sending</t>
  </si>
  <si>
    <t>EMAIL — Indonesian draft (ID). HAVE A NATIVE SPEAKER READ IT BEFORE SENDING.
----------------------------------------------------------------------------
Subjek: Satu orang dari komunitas Anda, satu berkat — permohonan relawan dari EverVerse
Yth. [kantor / nama],
Malam ini seseorang dari tradisi Anda akan menulis tentang hal terberat
dalam hidupnya — kematian, sakit, pernikahan yang berakhir, iman yang
menjadi sunyi — dengan harapan ada orang sungguhan yang membalas.
Di eververse.org kami menjalankan Lingkaran Berkat: layanan gratis di mana
seorang dewasa menulis tanpa nama, dan seorang relawan terverifikasi dari
agamanya sendiri membalas satu kali, dengan satu ayat dari kitab sucinya
dan beberapa kata jujur dari dirinya. Tanpa akun, tanpa biaya, dan tidak
ada kecerdasan buatan yang menulis satu kata pun.
Kami ingin membukanya di Indonesia bersama Anda. Tiga permohonan, dari yang
terbesar:
  1. Sepuluh orang dari komunitas Anda yang pernah memikul sesuatu yang
     berat dan bisa menulis satu berkat masing-masing. Tidak harus ulama
     atau pendeta. Sepuluh menit untuk mendaftar; setiap pendaftaran dibaca
     oleh manusia: eververse.org/guides.html
  2. Satu jam dari satu orang yang tinggal di Indonesia: untuk memastikan
     layanan krisis yang kami tampilkan — SEJIWA 119 ext. 8 — sudah benar,
     dan membaca frasa yang kami gunakan untuk mengenali krisis dalam
     bahasa Indonesia. Kami tidak akan mempromosikan Lingkaran di Indonesia
     sebelum keduanya selesai.
  3. Jika seorang relawan menyebut melayani bersama Anda, bolehkah kami
     menelepon untuk memastikannya?
Apa yang kami janjikan ada di satu halaman: eververse.org/partners.html.
Pemandu tidak dibayar, dan orang yang menulis tidak pernah membayar.
Jika salah satu dari ketiganya memungkinkan, balas ke alamat ini dan
seseorang akan menjawab.
Tim EverVerse · team@eververse.org</t>
  </si>
  <si>
    <t>Date</t>
  </si>
  <si>
    <t>Ask (G/L/N/C)</t>
  </si>
  <si>
    <t>Action (sent / follow-up / reply / call)</t>
  </si>
  <si>
    <t>By</t>
  </si>
  <si>
    <t>Note (one line, never a reply's contents)</t>
  </si>
  <si>
    <t>EXAMPLE — Stephen Ministries (delete)</t>
  </si>
  <si>
    <t>EverVerse Team</t>
  </si>
  <si>
    <t>example row — expected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</si>
</sst>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4"/>
      <name val="Arial"/>
    </font>
    <font>
      <i/>
      <sz val="9"/>
      <color rgb="FF555555"/>
      <name val="Arial"/>
    </font>
    <font>
      <b/>
      <sz val="11"/>
      <name val="Arial"/>
    </font>
    <font>
      <sz val="10"/>
      <name val="Arial"/>
    </font>
    <font>
      <b/>
      <sz val="10"/>
      <color rgb="FFFFFFFF"/>
      <name val="Arial"/>
    </font>
    <font>
      <sz val="10"/>
      <color rgb="FF0000FF"/>
      <name val="Arial"/>
    </font>
    <font>
      <b/>
      <sz val="10"/>
      <name val="Arial"/>
    </font>
  </fonts>
  <fills count="5">
    <fill>
      <patternFill patternType="none"/>
    </fill>
    <fill>
      <patternFill patternType="gray125"/>
    </fill>
    <fill>
      <patternFill patternType="solid">
        <fgColor rgb="FF3B2F7F"/>
      </patternFill>
    </fill>
    <fill>
      <patternFill patternType="solid">
        <fgColor rgb="FFFFF9C4"/>
      </patternFill>
    </fill>
    <fill>
      <patternFill patternType="solid">
        <fgColor rgb="FFFDECE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3" fillId="0" borderId="0" xfId="0" applyFont="1"/>
    <xf numFmtId="0" fontId="5" fillId="2" borderId="1" xfId="0" applyFont="1" applyFill="1" applyBorder="1" applyAlignment="1">
      <alignment vertical="center" wrapText="1"/>
    </xf>
    <xf numFmtId="0" fontId="4" fillId="0" borderId="0" xfId="0" applyFont="1"/>
    <xf numFmtId="0" fontId="4" fillId="0" borderId="0" xfId="0" applyFont="1" applyAlignment="1">
      <alignment horizontal="right"/>
    </xf>
    <xf numFmtId="9" fontId="4" fillId="0" borderId="0" xfId="0" applyNumberFormat="1" applyFont="1" applyAlignment="1">
      <alignment horizontal="right"/>
    </xf>
    <xf numFmtId="0" fontId="4" fillId="0" borderId="0" xfId="0" applyFont="1" applyAlignment="1">
      <alignment horizontal="center"/>
    </xf>
    <xf numFmtId="0" fontId="7" fillId="0" borderId="0" xfId="0" applyFont="1"/>
    <xf numFmtId="0" fontId="7" fillId="0" borderId="0" xfId="0" applyFont="1" applyAlignment="1">
      <alignment horizontal="center"/>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6" fillId="0" borderId="1" xfId="0" applyFont="1" applyBorder="1" applyAlignment="1">
      <alignment vertical="top" wrapText="1"/>
    </xf>
    <xf numFmtId="164" fontId="6" fillId="3" borderId="1" xfId="0" applyNumberFormat="1" applyFont="1" applyFill="1" applyBorder="1" applyAlignment="1">
      <alignment vertical="top" wrapText="1"/>
    </xf>
    <xf numFmtId="164" fontId="4" fillId="0" borderId="1" xfId="0" applyNumberFormat="1" applyFont="1" applyBorder="1" applyAlignment="1">
      <alignment vertical="top" wrapText="1"/>
    </xf>
    <xf numFmtId="0" fontId="4" fillId="4" borderId="1" xfId="0" applyFont="1" applyFill="1" applyBorder="1" applyAlignment="1">
      <alignment vertical="top" wrapText="1"/>
    </xf>
    <xf numFmtId="0" fontId="4" fillId="0" borderId="1" xfId="0" applyFont="1" applyBorder="1" applyAlignment="1">
      <alignment horizontal="center"/>
    </xf>
    <xf numFmtId="0" fontId="2" fillId="0" borderId="0" xfId="0" applyFont="1" applyAlignment="1">
      <alignment vertical="top" wrapText="1"/>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
  <sheetViews>
    <sheetView tabSelected="1" workbookViewId="0"/>
  </sheetViews>
  <sheetFormatPr defaultRowHeight="14.25" x14ac:dyDescent="0.45"/>
  <cols>
    <col min="1" max="1" width="120" customWidth="1"/>
  </cols>
  <sheetData>
    <row r="1" spans="1:1" ht="17.649999999999999" x14ac:dyDescent="0.5">
      <c r="A1" s="1" t="s">
        <v>0</v>
      </c>
    </row>
    <row r="2" spans="1:1" x14ac:dyDescent="0.45">
      <c r="A2" s="2" t="s">
        <v>1</v>
      </c>
    </row>
    <row r="4" spans="1:1" x14ac:dyDescent="0.45">
      <c r="A4" s="3" t="s">
        <v>2</v>
      </c>
    </row>
    <row r="5" spans="1:1" ht="25.5" x14ac:dyDescent="0.45">
      <c r="A5" s="4" t="s">
        <v>3</v>
      </c>
    </row>
    <row r="6" spans="1:1" ht="25.5" x14ac:dyDescent="0.45">
      <c r="A6" s="4" t="s">
        <v>4</v>
      </c>
    </row>
    <row r="7" spans="1:1" x14ac:dyDescent="0.45">
      <c r="A7" s="4" t="s">
        <v>5</v>
      </c>
    </row>
    <row r="8" spans="1:1" ht="25.5" x14ac:dyDescent="0.45">
      <c r="A8" s="4" t="s">
        <v>6</v>
      </c>
    </row>
    <row r="9" spans="1:1" x14ac:dyDescent="0.45">
      <c r="A9" s="4" t="s">
        <v>7</v>
      </c>
    </row>
    <row r="10" spans="1:1" ht="25.5" x14ac:dyDescent="0.45">
      <c r="A10" s="4" t="s">
        <v>8</v>
      </c>
    </row>
    <row r="11" spans="1:1" x14ac:dyDescent="0.45">
      <c r="A11" s="4"/>
    </row>
    <row r="12" spans="1:1" x14ac:dyDescent="0.45">
      <c r="A12" s="3" t="s">
        <v>9</v>
      </c>
    </row>
    <row r="13" spans="1:1" x14ac:dyDescent="0.45">
      <c r="A13" s="4" t="s">
        <v>10</v>
      </c>
    </row>
    <row r="14" spans="1:1" ht="25.5" x14ac:dyDescent="0.45">
      <c r="A14" s="4" t="s">
        <v>11</v>
      </c>
    </row>
    <row r="15" spans="1:1" x14ac:dyDescent="0.45">
      <c r="A15" s="4" t="s">
        <v>12</v>
      </c>
    </row>
    <row r="16" spans="1:1" x14ac:dyDescent="0.45">
      <c r="A16" s="4"/>
    </row>
    <row r="17" spans="1:1" x14ac:dyDescent="0.45">
      <c r="A17" s="3" t="s">
        <v>13</v>
      </c>
    </row>
    <row r="18" spans="1:1" x14ac:dyDescent="0.45">
      <c r="A18" s="4" t="s">
        <v>14</v>
      </c>
    </row>
    <row r="19" spans="1:1" x14ac:dyDescent="0.45">
      <c r="A19" s="4" t="s">
        <v>15</v>
      </c>
    </row>
    <row r="20" spans="1:1" x14ac:dyDescent="0.45">
      <c r="A20" s="4" t="s">
        <v>16</v>
      </c>
    </row>
    <row r="21" spans="1:1" x14ac:dyDescent="0.45">
      <c r="A21" s="4" t="s">
        <v>17</v>
      </c>
    </row>
    <row r="22" spans="1:1" x14ac:dyDescent="0.45">
      <c r="A22" s="4" t="s">
        <v>18</v>
      </c>
    </row>
    <row r="23" spans="1:1" x14ac:dyDescent="0.45">
      <c r="A23" s="4" t="s">
        <v>19</v>
      </c>
    </row>
    <row r="24" spans="1:1" x14ac:dyDescent="0.45">
      <c r="A24" s="4" t="s">
        <v>20</v>
      </c>
    </row>
    <row r="25" spans="1:1" x14ac:dyDescent="0.45">
      <c r="A25" s="4" t="s">
        <v>21</v>
      </c>
    </row>
    <row r="26" spans="1:1" x14ac:dyDescent="0.45">
      <c r="A26" s="4" t="s">
        <v>22</v>
      </c>
    </row>
    <row r="27" spans="1:1" x14ac:dyDescent="0.45">
      <c r="A27" s="4" t="s">
        <v>23</v>
      </c>
    </row>
    <row r="28" spans="1:1" x14ac:dyDescent="0.45">
      <c r="A28" s="4" t="s">
        <v>24</v>
      </c>
    </row>
    <row r="29" spans="1:1" x14ac:dyDescent="0.45">
      <c r="A29" s="4" t="s">
        <v>25</v>
      </c>
    </row>
    <row r="30" spans="1:1" x14ac:dyDescent="0.45">
      <c r="A30" s="4" t="s">
        <v>26</v>
      </c>
    </row>
    <row r="31" spans="1:1" x14ac:dyDescent="0.45">
      <c r="A31" s="4" t="s">
        <v>27</v>
      </c>
    </row>
    <row r="32" spans="1:1" x14ac:dyDescent="0.45">
      <c r="A32" s="4" t="s">
        <v>28</v>
      </c>
    </row>
    <row r="33" spans="1:1" x14ac:dyDescent="0.45">
      <c r="A33" s="4" t="s">
        <v>29</v>
      </c>
    </row>
    <row r="34" spans="1:1" x14ac:dyDescent="0.45">
      <c r="A34" s="4" t="s">
        <v>30</v>
      </c>
    </row>
    <row r="35" spans="1:1" x14ac:dyDescent="0.45">
      <c r="A35" s="4" t="s">
        <v>31</v>
      </c>
    </row>
    <row r="36" spans="1:1" x14ac:dyDescent="0.45">
      <c r="A36" s="4" t="s">
        <v>32</v>
      </c>
    </row>
    <row r="37" spans="1:1" x14ac:dyDescent="0.45">
      <c r="A37" s="4" t="s">
        <v>33</v>
      </c>
    </row>
    <row r="38" spans="1:1" x14ac:dyDescent="0.45">
      <c r="A38" s="4" t="s">
        <v>34</v>
      </c>
    </row>
    <row r="39" spans="1:1" x14ac:dyDescent="0.45">
      <c r="A39" s="4" t="s">
        <v>35</v>
      </c>
    </row>
    <row r="40" spans="1:1" x14ac:dyDescent="0.45">
      <c r="A40" s="4" t="s">
        <v>36</v>
      </c>
    </row>
    <row r="42" spans="1:1" x14ac:dyDescent="0.45">
      <c r="A42" s="5" t="s">
        <v>37</v>
      </c>
    </row>
    <row r="43" spans="1:1" x14ac:dyDescent="0.45">
      <c r="A43" s="4" t="s">
        <v>38</v>
      </c>
    </row>
    <row r="44" spans="1:1" x14ac:dyDescent="0.45">
      <c r="A44" s="4" t="s">
        <v>39</v>
      </c>
    </row>
    <row r="45" spans="1:1" x14ac:dyDescent="0.45">
      <c r="A45" s="4" t="s">
        <v>40</v>
      </c>
    </row>
    <row r="46" spans="1:1" x14ac:dyDescent="0.45">
      <c r="A46" s="4" t="s">
        <v>41</v>
      </c>
    </row>
    <row r="47" spans="1:1" x14ac:dyDescent="0.45">
      <c r="A47" s="4" t="s">
        <v>42</v>
      </c>
    </row>
    <row r="48" spans="1:1" x14ac:dyDescent="0.45">
      <c r="A48" s="4" t="s">
        <v>43</v>
      </c>
    </row>
    <row r="49" spans="1:1" x14ac:dyDescent="0.45">
      <c r="A49" s="4" t="s">
        <v>44</v>
      </c>
    </row>
    <row r="50" spans="1:1" x14ac:dyDescent="0.45">
      <c r="A50" s="4"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workbookViewId="0"/>
  </sheetViews>
  <sheetFormatPr defaultRowHeight="14.25" x14ac:dyDescent="0.45"/>
  <cols>
    <col min="1" max="1" width="44" customWidth="1"/>
    <col min="2" max="7" width="14" customWidth="1"/>
  </cols>
  <sheetData>
    <row r="1" spans="1:7" ht="17.649999999999999" x14ac:dyDescent="0.5">
      <c r="A1" s="1" t="s">
        <v>46</v>
      </c>
    </row>
    <row r="2" spans="1:7" x14ac:dyDescent="0.45">
      <c r="A2" s="2" t="s">
        <v>47</v>
      </c>
    </row>
    <row r="4" spans="1:7" x14ac:dyDescent="0.45">
      <c r="A4" s="6" t="s">
        <v>48</v>
      </c>
      <c r="B4" s="6" t="s">
        <v>49</v>
      </c>
    </row>
    <row r="5" spans="1:7" x14ac:dyDescent="0.45">
      <c r="A5" s="7" t="s">
        <v>50</v>
      </c>
      <c r="B5" s="8">
        <f>COUNTA(Organisations!$D$3:$D$97)</f>
        <v>95</v>
      </c>
    </row>
    <row r="6" spans="1:7" x14ac:dyDescent="0.45">
      <c r="A6" s="7" t="s">
        <v>51</v>
      </c>
      <c r="B6" s="8">
        <f>COUNTIF(Organisations!$I$3:$I$97,"?*")</f>
        <v>0</v>
      </c>
    </row>
    <row r="7" spans="1:7" x14ac:dyDescent="0.45">
      <c r="A7" s="7" t="s">
        <v>52</v>
      </c>
      <c r="B7" s="8">
        <f>COUNTIF(Organisations!$K$3:$K$97,"Y")</f>
        <v>0</v>
      </c>
    </row>
    <row r="8" spans="1:7" x14ac:dyDescent="0.45">
      <c r="A8" s="7" t="s">
        <v>53</v>
      </c>
      <c r="B8" s="8">
        <f>COUNTIF(Organisations!$M$3:$M$97,"&lt;&gt;")</f>
        <v>0</v>
      </c>
    </row>
    <row r="9" spans="1:7" x14ac:dyDescent="0.45">
      <c r="A9" s="7" t="s">
        <v>54</v>
      </c>
      <c r="B9" s="8">
        <f ca="1">SUMPRODUCT((Organisations!$M$3:$M$97&lt;&gt;"")*(Organisations!$M$3:$M$97&lt;=TODAY()-10)*(Organisations!$O$3:$O$97=""))</f>
        <v>0</v>
      </c>
    </row>
    <row r="10" spans="1:7" x14ac:dyDescent="0.45">
      <c r="A10" s="7" t="s">
        <v>55</v>
      </c>
      <c r="B10" s="8">
        <f>COUNTIF(Organisations!$O$3:$O$97,"&lt;&gt;")</f>
        <v>0</v>
      </c>
    </row>
    <row r="11" spans="1:7" x14ac:dyDescent="0.45">
      <c r="A11" s="7" t="s">
        <v>56</v>
      </c>
      <c r="B11" s="9">
        <f>IF(COUNTIF(Organisations!$M$3:$M$97,"&lt;&gt;")=0,0,COUNTIF(Organisations!$O$3:$O$97,"&lt;&gt;")/COUNTIF(Organisations!$M$3:$M$97,"&lt;&gt;"))</f>
        <v>0</v>
      </c>
    </row>
    <row r="12" spans="1:7" x14ac:dyDescent="0.45">
      <c r="A12" s="7" t="s">
        <v>57</v>
      </c>
      <c r="B12" s="8">
        <f>COUNTIF(Organisations!$L$3:$L$97,"declined")+COUNTIF(Organisations!$L$3:$L$97,"bounced")</f>
        <v>0</v>
      </c>
    </row>
    <row r="15" spans="1:7" ht="26.25" x14ac:dyDescent="0.45">
      <c r="A15" s="6" t="s">
        <v>58</v>
      </c>
      <c r="B15" s="6" t="s">
        <v>59</v>
      </c>
      <c r="C15" s="6" t="s">
        <v>52</v>
      </c>
      <c r="D15" s="6" t="s">
        <v>53</v>
      </c>
      <c r="E15" s="6" t="s">
        <v>55</v>
      </c>
      <c r="F15" s="6" t="s">
        <v>60</v>
      </c>
      <c r="G15" s="6" t="s">
        <v>61</v>
      </c>
    </row>
    <row r="16" spans="1:7" x14ac:dyDescent="0.45">
      <c r="A16" s="7" t="s">
        <v>62</v>
      </c>
      <c r="B16" s="10">
        <f>COUNTIF(Organisations!$C$3:$C$97,"US")</f>
        <v>13</v>
      </c>
      <c r="C16" s="10">
        <f>COUNTIFS(Organisations!$C$3:$C$97,"US",Organisations!$K$3:$K$97,"Y")</f>
        <v>0</v>
      </c>
      <c r="D16" s="10">
        <f>COUNTIFS(Organisations!$C$3:$C$97,"US",Organisations!$M$3:$M$97,"&lt;&gt;")</f>
        <v>0</v>
      </c>
      <c r="E16" s="10">
        <f>COUNTIFS(Organisations!$C$3:$C$97,"US",Organisations!$O$3:$O$97,"&lt;&gt;")</f>
        <v>0</v>
      </c>
      <c r="F16" s="10">
        <f>SUMPRODUCT((Organisations!$C$3:$C$97="US")*ISNUMBER(SEARCH("L",Organisations!$F$3:$F$97)))</f>
        <v>1</v>
      </c>
      <c r="G16" s="10">
        <f>SUMPRODUCT((Organisations!$C$3:$C$97="US")*ISNUMBER(SEARCH("N",Organisations!$F$3:$F$97)))</f>
        <v>2</v>
      </c>
    </row>
    <row r="17" spans="1:7" x14ac:dyDescent="0.45">
      <c r="A17" s="7" t="s">
        <v>63</v>
      </c>
      <c r="B17" s="10">
        <f>COUNTIF(Organisations!$C$3:$C$97,"BR")</f>
        <v>9</v>
      </c>
      <c r="C17" s="10">
        <f>COUNTIFS(Organisations!$C$3:$C$97,"BR",Organisations!$K$3:$K$97,"Y")</f>
        <v>0</v>
      </c>
      <c r="D17" s="10">
        <f>COUNTIFS(Organisations!$C$3:$C$97,"BR",Organisations!$M$3:$M$97,"&lt;&gt;")</f>
        <v>0</v>
      </c>
      <c r="E17" s="10">
        <f>COUNTIFS(Organisations!$C$3:$C$97,"BR",Organisations!$O$3:$O$97,"&lt;&gt;")</f>
        <v>0</v>
      </c>
      <c r="F17" s="10">
        <f>SUMPRODUCT((Organisations!$C$3:$C$97="BR")*ISNUMBER(SEARCH("L",Organisations!$F$3:$F$97)))</f>
        <v>1</v>
      </c>
      <c r="G17" s="10">
        <f>SUMPRODUCT((Organisations!$C$3:$C$97="BR")*ISNUMBER(SEARCH("N",Organisations!$F$3:$F$97)))</f>
        <v>1</v>
      </c>
    </row>
    <row r="18" spans="1:7" x14ac:dyDescent="0.45">
      <c r="A18" s="7" t="s">
        <v>64</v>
      </c>
      <c r="B18" s="10">
        <f>COUNTIF(Organisations!$C$3:$C$97,"MX")</f>
        <v>8</v>
      </c>
      <c r="C18" s="10">
        <f>COUNTIFS(Organisations!$C$3:$C$97,"MX",Organisations!$K$3:$K$97,"Y")</f>
        <v>0</v>
      </c>
      <c r="D18" s="10">
        <f>COUNTIFS(Organisations!$C$3:$C$97,"MX",Organisations!$M$3:$M$97,"&lt;&gt;")</f>
        <v>0</v>
      </c>
      <c r="E18" s="10">
        <f>COUNTIFS(Organisations!$C$3:$C$97,"MX",Organisations!$O$3:$O$97,"&lt;&gt;")</f>
        <v>0</v>
      </c>
      <c r="F18" s="10">
        <f>SUMPRODUCT((Organisations!$C$3:$C$97="MX")*ISNUMBER(SEARCH("L",Organisations!$F$3:$F$97)))</f>
        <v>1</v>
      </c>
      <c r="G18" s="10">
        <f>SUMPRODUCT((Organisations!$C$3:$C$97="MX")*ISNUMBER(SEARCH("N",Organisations!$F$3:$F$97)))</f>
        <v>1</v>
      </c>
    </row>
    <row r="19" spans="1:7" x14ac:dyDescent="0.45">
      <c r="A19" s="7" t="s">
        <v>65</v>
      </c>
      <c r="B19" s="10">
        <f>COUNTIF(Organisations!$C$3:$C$97,"IN")</f>
        <v>15</v>
      </c>
      <c r="C19" s="10">
        <f>COUNTIFS(Organisations!$C$3:$C$97,"IN",Organisations!$K$3:$K$97,"Y")</f>
        <v>0</v>
      </c>
      <c r="D19" s="10">
        <f>COUNTIFS(Organisations!$C$3:$C$97,"IN",Organisations!$M$3:$M$97,"&lt;&gt;")</f>
        <v>0</v>
      </c>
      <c r="E19" s="10">
        <f>COUNTIFS(Organisations!$C$3:$C$97,"IN",Organisations!$O$3:$O$97,"&lt;&gt;")</f>
        <v>0</v>
      </c>
      <c r="F19" s="10">
        <f>SUMPRODUCT((Organisations!$C$3:$C$97="IN")*ISNUMBER(SEARCH("L",Organisations!$F$3:$F$97)))</f>
        <v>2</v>
      </c>
      <c r="G19" s="10">
        <f>SUMPRODUCT((Organisations!$C$3:$C$97="IN")*ISNUMBER(SEARCH("N",Organisations!$F$3:$F$97)))</f>
        <v>2</v>
      </c>
    </row>
    <row r="20" spans="1:7" x14ac:dyDescent="0.45">
      <c r="A20" s="7" t="s">
        <v>66</v>
      </c>
      <c r="B20" s="10">
        <f>COUNTIF(Organisations!$C$3:$C$97,"PH")</f>
        <v>8</v>
      </c>
      <c r="C20" s="10">
        <f>COUNTIFS(Organisations!$C$3:$C$97,"PH",Organisations!$K$3:$K$97,"Y")</f>
        <v>0</v>
      </c>
      <c r="D20" s="10">
        <f>COUNTIFS(Organisations!$C$3:$C$97,"PH",Organisations!$M$3:$M$97,"&lt;&gt;")</f>
        <v>0</v>
      </c>
      <c r="E20" s="10">
        <f>COUNTIFS(Organisations!$C$3:$C$97,"PH",Organisations!$O$3:$O$97,"&lt;&gt;")</f>
        <v>0</v>
      </c>
      <c r="F20" s="10">
        <f>SUMPRODUCT((Organisations!$C$3:$C$97="PH")*ISNUMBER(SEARCH("L",Organisations!$F$3:$F$97)))</f>
        <v>3</v>
      </c>
      <c r="G20" s="10">
        <f>SUMPRODUCT((Organisations!$C$3:$C$97="PH")*ISNUMBER(SEARCH("N",Organisations!$F$3:$F$97)))</f>
        <v>1</v>
      </c>
    </row>
    <row r="21" spans="1:7" x14ac:dyDescent="0.45">
      <c r="A21" s="7" t="s">
        <v>67</v>
      </c>
      <c r="B21" s="10">
        <f>COUNTIF(Organisations!$C$3:$C$97,"ID")</f>
        <v>8</v>
      </c>
      <c r="C21" s="10">
        <f>COUNTIFS(Organisations!$C$3:$C$97,"ID",Organisations!$K$3:$K$97,"Y")</f>
        <v>0</v>
      </c>
      <c r="D21" s="10">
        <f>COUNTIFS(Organisations!$C$3:$C$97,"ID",Organisations!$M$3:$M$97,"&lt;&gt;")</f>
        <v>0</v>
      </c>
      <c r="E21" s="10">
        <f>COUNTIFS(Organisations!$C$3:$C$97,"ID",Organisations!$O$3:$O$97,"&lt;&gt;")</f>
        <v>0</v>
      </c>
      <c r="F21" s="10">
        <f>SUMPRODUCT((Organisations!$C$3:$C$97="ID")*ISNUMBER(SEARCH("L",Organisations!$F$3:$F$97)))</f>
        <v>1</v>
      </c>
      <c r="G21" s="10">
        <f>SUMPRODUCT((Organisations!$C$3:$C$97="ID")*ISNUMBER(SEARCH("N",Organisations!$F$3:$F$97)))</f>
        <v>2</v>
      </c>
    </row>
    <row r="22" spans="1:7" x14ac:dyDescent="0.45">
      <c r="A22" s="7" t="s">
        <v>68</v>
      </c>
      <c r="B22" s="10">
        <f>COUNTIF(Organisations!$C$3:$C$97,"NG")</f>
        <v>12</v>
      </c>
      <c r="C22" s="10">
        <f>COUNTIFS(Organisations!$C$3:$C$97,"NG",Organisations!$K$3:$K$97,"Y")</f>
        <v>0</v>
      </c>
      <c r="D22" s="10">
        <f>COUNTIFS(Organisations!$C$3:$C$97,"NG",Organisations!$M$3:$M$97,"&lt;&gt;")</f>
        <v>0</v>
      </c>
      <c r="E22" s="10">
        <f>COUNTIFS(Organisations!$C$3:$C$97,"NG",Organisations!$O$3:$O$97,"&lt;&gt;")</f>
        <v>0</v>
      </c>
      <c r="F22" s="10">
        <f>SUMPRODUCT((Organisations!$C$3:$C$97="NG")*ISNUMBER(SEARCH("L",Organisations!$F$3:$F$97)))</f>
        <v>2</v>
      </c>
      <c r="G22" s="10">
        <f>SUMPRODUCT((Organisations!$C$3:$C$97="NG")*ISNUMBER(SEARCH("N",Organisations!$F$3:$F$97)))</f>
        <v>3</v>
      </c>
    </row>
    <row r="23" spans="1:7" x14ac:dyDescent="0.45">
      <c r="A23" s="7" t="s">
        <v>69</v>
      </c>
      <c r="B23" s="10">
        <f>COUNTIF(Organisations!$C$3:$C$97,"KE")</f>
        <v>10</v>
      </c>
      <c r="C23" s="10">
        <f>COUNTIFS(Organisations!$C$3:$C$97,"KE",Organisations!$K$3:$K$97,"Y")</f>
        <v>0</v>
      </c>
      <c r="D23" s="10">
        <f>COUNTIFS(Organisations!$C$3:$C$97,"KE",Organisations!$M$3:$M$97,"&lt;&gt;")</f>
        <v>0</v>
      </c>
      <c r="E23" s="10">
        <f>COUNTIFS(Organisations!$C$3:$C$97,"KE",Organisations!$O$3:$O$97,"&lt;&gt;")</f>
        <v>0</v>
      </c>
      <c r="F23" s="10">
        <f>SUMPRODUCT((Organisations!$C$3:$C$97="KE")*ISNUMBER(SEARCH("L",Organisations!$F$3:$F$97)))</f>
        <v>2</v>
      </c>
      <c r="G23" s="10">
        <f>SUMPRODUCT((Organisations!$C$3:$C$97="KE")*ISNUMBER(SEARCH("N",Organisations!$F$3:$F$97)))</f>
        <v>1</v>
      </c>
    </row>
    <row r="24" spans="1:7" x14ac:dyDescent="0.45">
      <c r="A24" s="7" t="s">
        <v>70</v>
      </c>
      <c r="B24" s="10">
        <f>COUNTIF(Organisations!$C$3:$C$97,"ZA")</f>
        <v>12</v>
      </c>
      <c r="C24" s="10">
        <f>COUNTIFS(Organisations!$C$3:$C$97,"ZA",Organisations!$K$3:$K$97,"Y")</f>
        <v>0</v>
      </c>
      <c r="D24" s="10">
        <f>COUNTIFS(Organisations!$C$3:$C$97,"ZA",Organisations!$M$3:$M$97,"&lt;&gt;")</f>
        <v>0</v>
      </c>
      <c r="E24" s="10">
        <f>COUNTIFS(Organisations!$C$3:$C$97,"ZA",Organisations!$O$3:$O$97,"&lt;&gt;")</f>
        <v>0</v>
      </c>
      <c r="F24" s="10">
        <f>SUMPRODUCT((Organisations!$C$3:$C$97="ZA")*ISNUMBER(SEARCH("L",Organisations!$F$3:$F$97)))</f>
        <v>2</v>
      </c>
      <c r="G24" s="10">
        <f>SUMPRODUCT((Organisations!$C$3:$C$97="ZA")*ISNUMBER(SEARCH("N",Organisations!$F$3:$F$97)))</f>
        <v>1</v>
      </c>
    </row>
    <row r="25" spans="1:7" x14ac:dyDescent="0.45">
      <c r="A25" s="11" t="s">
        <v>71</v>
      </c>
      <c r="B25" s="12">
        <f t="shared" ref="B25:G25" si="0">SUM(B16:B24)</f>
        <v>95</v>
      </c>
      <c r="C25" s="12">
        <f t="shared" si="0"/>
        <v>0</v>
      </c>
      <c r="D25" s="12">
        <f t="shared" si="0"/>
        <v>0</v>
      </c>
      <c r="E25" s="12">
        <f t="shared" si="0"/>
        <v>0</v>
      </c>
      <c r="F25" s="12">
        <f t="shared" si="0"/>
        <v>15</v>
      </c>
      <c r="G25" s="12">
        <f t="shared" si="0"/>
        <v>14</v>
      </c>
    </row>
    <row r="28" spans="1:7" ht="26.25" x14ac:dyDescent="0.45">
      <c r="A28" s="6" t="s">
        <v>72</v>
      </c>
      <c r="B28" s="6" t="s">
        <v>73</v>
      </c>
    </row>
    <row r="29" spans="1:7" x14ac:dyDescent="0.45">
      <c r="A29" s="7" t="s">
        <v>74</v>
      </c>
      <c r="B29" s="10">
        <f>SUMPRODUCT(ISNUMBER(SEARCH("G",Organisations!$F$3:$F$97))*1)</f>
        <v>84</v>
      </c>
    </row>
    <row r="30" spans="1:7" x14ac:dyDescent="0.45">
      <c r="A30" s="7" t="s">
        <v>75</v>
      </c>
      <c r="B30" s="10">
        <f>SUMPRODUCT(ISNUMBER(SEARCH("L",Organisations!$F$3:$F$97))*1)</f>
        <v>15</v>
      </c>
    </row>
    <row r="31" spans="1:7" x14ac:dyDescent="0.45">
      <c r="A31" s="7" t="s">
        <v>76</v>
      </c>
      <c r="B31" s="10">
        <f>SUMPRODUCT(ISNUMBER(SEARCH("N",Organisations!$F$3:$F$97))*1)</f>
        <v>14</v>
      </c>
    </row>
    <row r="32" spans="1:7" x14ac:dyDescent="0.45">
      <c r="A32" s="7" t="s">
        <v>77</v>
      </c>
      <c r="B32" s="10">
        <f>SUMPRODUCT(ISNUMBER(SEARCH("C",Organisations!$F$3:$F$97))*1)</f>
        <v>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9"/>
  <sheetViews>
    <sheetView workbookViewId="0">
      <pane xSplit="4" ySplit="1" topLeftCell="E2" activePane="bottomRight" state="frozen"/>
      <selection pane="topRight"/>
      <selection pane="bottomLeft"/>
      <selection pane="bottomRight"/>
    </sheetView>
  </sheetViews>
  <sheetFormatPr defaultRowHeight="14.25" x14ac:dyDescent="0.45"/>
  <cols>
    <col min="1" max="1" width="5" customWidth="1"/>
    <col min="2" max="2" width="14" customWidth="1"/>
    <col min="3" max="3" width="5" customWidth="1"/>
    <col min="4" max="4" width="40" customWidth="1"/>
    <col min="5" max="5" width="10" customWidth="1"/>
    <col min="6" max="6" width="12" customWidth="1"/>
    <col min="7" max="7" width="44" customWidth="1"/>
    <col min="8" max="8" width="26" customWidth="1"/>
    <col min="9" max="9" width="28" customWidth="1"/>
    <col min="10" max="10" width="34" customWidth="1"/>
    <col min="11" max="11" width="10" customWidth="1"/>
    <col min="12" max="12" width="14" customWidth="1"/>
    <col min="13" max="13" width="12" customWidth="1"/>
    <col min="14" max="14" width="13" customWidth="1"/>
    <col min="15" max="16" width="12" customWidth="1"/>
    <col min="17" max="17" width="30" customWidth="1"/>
  </cols>
  <sheetData>
    <row r="1" spans="1:17" ht="26.25" x14ac:dyDescent="0.45">
      <c r="A1" s="6" t="s">
        <v>78</v>
      </c>
      <c r="B1" s="6" t="s">
        <v>58</v>
      </c>
      <c r="C1" s="6" t="s">
        <v>79</v>
      </c>
      <c r="D1" s="6" t="s">
        <v>80</v>
      </c>
      <c r="E1" s="6" t="s">
        <v>81</v>
      </c>
      <c r="F1" s="6" t="s">
        <v>82</v>
      </c>
      <c r="G1" s="6" t="s">
        <v>83</v>
      </c>
      <c r="H1" s="6" t="s">
        <v>84</v>
      </c>
      <c r="I1" s="6" t="s">
        <v>85</v>
      </c>
      <c r="J1" s="6" t="s">
        <v>86</v>
      </c>
      <c r="K1" s="6" t="s">
        <v>87</v>
      </c>
      <c r="L1" s="6" t="s">
        <v>88</v>
      </c>
      <c r="M1" s="6" t="s">
        <v>89</v>
      </c>
      <c r="N1" s="6" t="s">
        <v>90</v>
      </c>
      <c r="O1" s="6" t="s">
        <v>91</v>
      </c>
      <c r="P1" s="6" t="s">
        <v>92</v>
      </c>
      <c r="Q1" s="6" t="s">
        <v>93</v>
      </c>
    </row>
    <row r="2" spans="1:17" x14ac:dyDescent="0.45">
      <c r="A2" s="13" t="s">
        <v>94</v>
      </c>
      <c r="B2" s="13" t="s">
        <v>62</v>
      </c>
      <c r="C2" s="13" t="s">
        <v>95</v>
      </c>
      <c r="D2" s="13" t="s">
        <v>96</v>
      </c>
      <c r="E2" s="13" t="s">
        <v>97</v>
      </c>
      <c r="F2" s="13" t="s">
        <v>98</v>
      </c>
      <c r="G2" s="13" t="s">
        <v>99</v>
      </c>
      <c r="H2" s="13" t="s">
        <v>100</v>
      </c>
      <c r="I2" s="13" t="s">
        <v>101</v>
      </c>
      <c r="J2" s="13" t="s">
        <v>102</v>
      </c>
      <c r="K2" s="13" t="s">
        <v>103</v>
      </c>
      <c r="L2" s="13" t="s">
        <v>104</v>
      </c>
      <c r="M2" s="14">
        <f>DATE(2026,9,15)</f>
        <v>46280</v>
      </c>
      <c r="N2" s="14">
        <f t="shared" ref="N2:N33" si="0">IF(M2="","",M2+10)</f>
        <v>46290</v>
      </c>
      <c r="O2" s="13"/>
      <c r="P2" s="13"/>
      <c r="Q2" s="13" t="s">
        <v>105</v>
      </c>
    </row>
    <row r="3" spans="1:17" ht="25.5" x14ac:dyDescent="0.45">
      <c r="A3" s="15">
        <v>1</v>
      </c>
      <c r="B3" s="15" t="s">
        <v>62</v>
      </c>
      <c r="C3" s="15" t="s">
        <v>95</v>
      </c>
      <c r="D3" s="15" t="s">
        <v>106</v>
      </c>
      <c r="E3" s="15" t="s">
        <v>97</v>
      </c>
      <c r="F3" s="15" t="s">
        <v>98</v>
      </c>
      <c r="G3" s="15" t="s">
        <v>107</v>
      </c>
      <c r="H3" s="16"/>
      <c r="I3" s="16"/>
      <c r="J3" s="16"/>
      <c r="K3" s="17" t="s">
        <v>108</v>
      </c>
      <c r="L3" s="17" t="s">
        <v>109</v>
      </c>
      <c r="M3" s="18"/>
      <c r="N3" s="19" t="str">
        <f t="shared" si="0"/>
        <v/>
      </c>
      <c r="O3" s="18"/>
      <c r="P3" s="16"/>
      <c r="Q3" s="16"/>
    </row>
    <row r="4" spans="1:17" x14ac:dyDescent="0.45">
      <c r="A4" s="15">
        <v>2</v>
      </c>
      <c r="B4" s="15" t="s">
        <v>62</v>
      </c>
      <c r="C4" s="15" t="s">
        <v>95</v>
      </c>
      <c r="D4" s="15" t="s">
        <v>110</v>
      </c>
      <c r="E4" s="15" t="s">
        <v>97</v>
      </c>
      <c r="F4" s="15" t="s">
        <v>98</v>
      </c>
      <c r="G4" s="15"/>
      <c r="H4" s="16"/>
      <c r="I4" s="16"/>
      <c r="J4" s="16"/>
      <c r="K4" s="17" t="s">
        <v>108</v>
      </c>
      <c r="L4" s="17" t="s">
        <v>109</v>
      </c>
      <c r="M4" s="18"/>
      <c r="N4" s="19" t="str">
        <f t="shared" si="0"/>
        <v/>
      </c>
      <c r="O4" s="18"/>
      <c r="P4" s="16"/>
      <c r="Q4" s="16"/>
    </row>
    <row r="5" spans="1:17" x14ac:dyDescent="0.45">
      <c r="A5" s="15">
        <v>3</v>
      </c>
      <c r="B5" s="15" t="s">
        <v>62</v>
      </c>
      <c r="C5" s="15" t="s">
        <v>95</v>
      </c>
      <c r="D5" s="15" t="s">
        <v>111</v>
      </c>
      <c r="E5" s="15" t="s">
        <v>97</v>
      </c>
      <c r="F5" s="15" t="s">
        <v>112</v>
      </c>
      <c r="G5" s="15" t="s">
        <v>113</v>
      </c>
      <c r="H5" s="16"/>
      <c r="I5" s="16"/>
      <c r="J5" s="16"/>
      <c r="K5" s="17" t="s">
        <v>108</v>
      </c>
      <c r="L5" s="17" t="s">
        <v>109</v>
      </c>
      <c r="M5" s="18"/>
      <c r="N5" s="19" t="str">
        <f t="shared" si="0"/>
        <v/>
      </c>
      <c r="O5" s="18"/>
      <c r="P5" s="16"/>
      <c r="Q5" s="16"/>
    </row>
    <row r="6" spans="1:17" x14ac:dyDescent="0.45">
      <c r="A6" s="15">
        <v>4</v>
      </c>
      <c r="B6" s="15" t="s">
        <v>62</v>
      </c>
      <c r="C6" s="15" t="s">
        <v>95</v>
      </c>
      <c r="D6" s="15" t="s">
        <v>114</v>
      </c>
      <c r="E6" s="15" t="s">
        <v>115</v>
      </c>
      <c r="F6" s="15" t="s">
        <v>116</v>
      </c>
      <c r="G6" s="15" t="s">
        <v>117</v>
      </c>
      <c r="H6" s="16"/>
      <c r="I6" s="16"/>
      <c r="J6" s="16"/>
      <c r="K6" s="17" t="s">
        <v>108</v>
      </c>
      <c r="L6" s="17" t="s">
        <v>109</v>
      </c>
      <c r="M6" s="18"/>
      <c r="N6" s="19" t="str">
        <f t="shared" si="0"/>
        <v/>
      </c>
      <c r="O6" s="18"/>
      <c r="P6" s="16"/>
      <c r="Q6" s="16"/>
    </row>
    <row r="7" spans="1:17" ht="25.5" x14ac:dyDescent="0.45">
      <c r="A7" s="15">
        <v>5</v>
      </c>
      <c r="B7" s="15" t="s">
        <v>62</v>
      </c>
      <c r="C7" s="15" t="s">
        <v>95</v>
      </c>
      <c r="D7" s="15" t="s">
        <v>118</v>
      </c>
      <c r="E7" s="15" t="s">
        <v>115</v>
      </c>
      <c r="F7" s="15" t="s">
        <v>112</v>
      </c>
      <c r="G7" s="15" t="s">
        <v>119</v>
      </c>
      <c r="H7" s="16"/>
      <c r="I7" s="16"/>
      <c r="J7" s="16"/>
      <c r="K7" s="17" t="s">
        <v>108</v>
      </c>
      <c r="L7" s="17" t="s">
        <v>109</v>
      </c>
      <c r="M7" s="18"/>
      <c r="N7" s="19" t="str">
        <f t="shared" si="0"/>
        <v/>
      </c>
      <c r="O7" s="18"/>
      <c r="P7" s="16"/>
      <c r="Q7" s="16"/>
    </row>
    <row r="8" spans="1:17" x14ac:dyDescent="0.45">
      <c r="A8" s="15">
        <v>6</v>
      </c>
      <c r="B8" s="15" t="s">
        <v>62</v>
      </c>
      <c r="C8" s="15" t="s">
        <v>95</v>
      </c>
      <c r="D8" s="15" t="s">
        <v>120</v>
      </c>
      <c r="E8" s="15" t="s">
        <v>121</v>
      </c>
      <c r="F8" s="15" t="s">
        <v>98</v>
      </c>
      <c r="G8" s="15"/>
      <c r="H8" s="16"/>
      <c r="I8" s="16"/>
      <c r="J8" s="16"/>
      <c r="K8" s="17" t="s">
        <v>108</v>
      </c>
      <c r="L8" s="17" t="s">
        <v>109</v>
      </c>
      <c r="M8" s="18"/>
      <c r="N8" s="19" t="str">
        <f t="shared" si="0"/>
        <v/>
      </c>
      <c r="O8" s="18"/>
      <c r="P8" s="16"/>
      <c r="Q8" s="16"/>
    </row>
    <row r="9" spans="1:17" x14ac:dyDescent="0.45">
      <c r="A9" s="15">
        <v>7</v>
      </c>
      <c r="B9" s="15" t="s">
        <v>62</v>
      </c>
      <c r="C9" s="15" t="s">
        <v>95</v>
      </c>
      <c r="D9" s="15" t="s">
        <v>122</v>
      </c>
      <c r="E9" s="15" t="s">
        <v>123</v>
      </c>
      <c r="F9" s="15" t="s">
        <v>112</v>
      </c>
      <c r="G9" s="15"/>
      <c r="H9" s="16"/>
      <c r="I9" s="16"/>
      <c r="J9" s="16"/>
      <c r="K9" s="17" t="s">
        <v>108</v>
      </c>
      <c r="L9" s="17" t="s">
        <v>109</v>
      </c>
      <c r="M9" s="18"/>
      <c r="N9" s="19" t="str">
        <f t="shared" si="0"/>
        <v/>
      </c>
      <c r="O9" s="18"/>
      <c r="P9" s="16"/>
      <c r="Q9" s="16"/>
    </row>
    <row r="10" spans="1:17" x14ac:dyDescent="0.45">
      <c r="A10" s="15">
        <v>8</v>
      </c>
      <c r="B10" s="15" t="s">
        <v>62</v>
      </c>
      <c r="C10" s="15" t="s">
        <v>95</v>
      </c>
      <c r="D10" s="15" t="s">
        <v>124</v>
      </c>
      <c r="E10" s="15" t="s">
        <v>123</v>
      </c>
      <c r="F10" s="15" t="s">
        <v>98</v>
      </c>
      <c r="G10" s="15" t="s">
        <v>125</v>
      </c>
      <c r="H10" s="16"/>
      <c r="I10" s="16"/>
      <c r="J10" s="16"/>
      <c r="K10" s="17" t="s">
        <v>108</v>
      </c>
      <c r="L10" s="17" t="s">
        <v>109</v>
      </c>
      <c r="M10" s="18"/>
      <c r="N10" s="19" t="str">
        <f t="shared" si="0"/>
        <v/>
      </c>
      <c r="O10" s="18"/>
      <c r="P10" s="16"/>
      <c r="Q10" s="16"/>
    </row>
    <row r="11" spans="1:17" x14ac:dyDescent="0.45">
      <c r="A11" s="15">
        <v>9</v>
      </c>
      <c r="B11" s="15" t="s">
        <v>62</v>
      </c>
      <c r="C11" s="15" t="s">
        <v>95</v>
      </c>
      <c r="D11" s="15" t="s">
        <v>126</v>
      </c>
      <c r="E11" s="15" t="s">
        <v>127</v>
      </c>
      <c r="F11" s="15" t="s">
        <v>98</v>
      </c>
      <c r="G11" s="15" t="s">
        <v>128</v>
      </c>
      <c r="H11" s="16"/>
      <c r="I11" s="16"/>
      <c r="J11" s="16"/>
      <c r="K11" s="17" t="s">
        <v>108</v>
      </c>
      <c r="L11" s="17" t="s">
        <v>109</v>
      </c>
      <c r="M11" s="18"/>
      <c r="N11" s="19" t="str">
        <f t="shared" si="0"/>
        <v/>
      </c>
      <c r="O11" s="18"/>
      <c r="P11" s="16"/>
      <c r="Q11" s="16"/>
    </row>
    <row r="12" spans="1:17" ht="25.5" x14ac:dyDescent="0.45">
      <c r="A12" s="15">
        <v>10</v>
      </c>
      <c r="B12" s="15" t="s">
        <v>62</v>
      </c>
      <c r="C12" s="15" t="s">
        <v>95</v>
      </c>
      <c r="D12" s="15" t="s">
        <v>129</v>
      </c>
      <c r="E12" s="15" t="s">
        <v>130</v>
      </c>
      <c r="F12" s="15" t="s">
        <v>98</v>
      </c>
      <c r="G12" s="15"/>
      <c r="H12" s="16"/>
      <c r="I12" s="16"/>
      <c r="J12" s="16"/>
      <c r="K12" s="17" t="s">
        <v>108</v>
      </c>
      <c r="L12" s="17" t="s">
        <v>109</v>
      </c>
      <c r="M12" s="18"/>
      <c r="N12" s="19" t="str">
        <f t="shared" si="0"/>
        <v/>
      </c>
      <c r="O12" s="18"/>
      <c r="P12" s="16"/>
      <c r="Q12" s="16"/>
    </row>
    <row r="13" spans="1:17" x14ac:dyDescent="0.45">
      <c r="A13" s="15">
        <v>11</v>
      </c>
      <c r="B13" s="15" t="s">
        <v>62</v>
      </c>
      <c r="C13" s="15" t="s">
        <v>95</v>
      </c>
      <c r="D13" s="15" t="s">
        <v>131</v>
      </c>
      <c r="E13" s="15" t="s">
        <v>132</v>
      </c>
      <c r="F13" s="15" t="s">
        <v>112</v>
      </c>
      <c r="G13" s="15"/>
      <c r="H13" s="16"/>
      <c r="I13" s="16"/>
      <c r="J13" s="16"/>
      <c r="K13" s="17" t="s">
        <v>108</v>
      </c>
      <c r="L13" s="17" t="s">
        <v>109</v>
      </c>
      <c r="M13" s="18"/>
      <c r="N13" s="19" t="str">
        <f t="shared" si="0"/>
        <v/>
      </c>
      <c r="O13" s="18"/>
      <c r="P13" s="16"/>
      <c r="Q13" s="16"/>
    </row>
    <row r="14" spans="1:17" x14ac:dyDescent="0.45">
      <c r="A14" s="15">
        <v>12</v>
      </c>
      <c r="B14" s="15" t="s">
        <v>62</v>
      </c>
      <c r="C14" s="15" t="s">
        <v>95</v>
      </c>
      <c r="D14" s="15" t="s">
        <v>133</v>
      </c>
      <c r="E14" s="15" t="s">
        <v>115</v>
      </c>
      <c r="F14" s="15" t="s">
        <v>134</v>
      </c>
      <c r="G14" s="15" t="s">
        <v>135</v>
      </c>
      <c r="H14" s="16"/>
      <c r="I14" s="16"/>
      <c r="J14" s="16"/>
      <c r="K14" s="17" t="s">
        <v>108</v>
      </c>
      <c r="L14" s="17" t="s">
        <v>109</v>
      </c>
      <c r="M14" s="18"/>
      <c r="N14" s="19" t="str">
        <f t="shared" si="0"/>
        <v/>
      </c>
      <c r="O14" s="18"/>
      <c r="P14" s="16"/>
      <c r="Q14" s="16"/>
    </row>
    <row r="15" spans="1:17" ht="38.25" x14ac:dyDescent="0.45">
      <c r="A15" s="15">
        <v>13</v>
      </c>
      <c r="B15" s="15" t="s">
        <v>62</v>
      </c>
      <c r="C15" s="15" t="s">
        <v>95</v>
      </c>
      <c r="D15" s="15" t="s">
        <v>136</v>
      </c>
      <c r="E15" s="15" t="s">
        <v>97</v>
      </c>
      <c r="F15" s="15" t="s">
        <v>137</v>
      </c>
      <c r="G15" s="15"/>
      <c r="H15" s="16"/>
      <c r="I15" s="16"/>
      <c r="J15" s="16"/>
      <c r="K15" s="17" t="s">
        <v>108</v>
      </c>
      <c r="L15" s="17" t="s">
        <v>109</v>
      </c>
      <c r="M15" s="18"/>
      <c r="N15" s="19" t="str">
        <f t="shared" si="0"/>
        <v/>
      </c>
      <c r="O15" s="18"/>
      <c r="P15" s="16"/>
      <c r="Q15" s="16"/>
    </row>
    <row r="16" spans="1:17" ht="25.5" x14ac:dyDescent="0.45">
      <c r="A16" s="15">
        <v>14</v>
      </c>
      <c r="B16" s="15" t="s">
        <v>63</v>
      </c>
      <c r="C16" s="15" t="s">
        <v>138</v>
      </c>
      <c r="D16" s="15" t="s">
        <v>139</v>
      </c>
      <c r="E16" s="15" t="s">
        <v>97</v>
      </c>
      <c r="F16" s="15" t="s">
        <v>98</v>
      </c>
      <c r="G16" s="15"/>
      <c r="H16" s="16"/>
      <c r="I16" s="16"/>
      <c r="J16" s="16"/>
      <c r="K16" s="17" t="s">
        <v>108</v>
      </c>
      <c r="L16" s="17" t="s">
        <v>109</v>
      </c>
      <c r="M16" s="18"/>
      <c r="N16" s="19" t="str">
        <f t="shared" si="0"/>
        <v/>
      </c>
      <c r="O16" s="18"/>
      <c r="P16" s="16"/>
      <c r="Q16" s="16"/>
    </row>
    <row r="17" spans="1:17" x14ac:dyDescent="0.45">
      <c r="A17" s="15">
        <v>15</v>
      </c>
      <c r="B17" s="15" t="s">
        <v>63</v>
      </c>
      <c r="C17" s="15" t="s">
        <v>138</v>
      </c>
      <c r="D17" s="15" t="s">
        <v>140</v>
      </c>
      <c r="E17" s="15" t="s">
        <v>97</v>
      </c>
      <c r="F17" s="15" t="s">
        <v>98</v>
      </c>
      <c r="G17" s="15"/>
      <c r="H17" s="16"/>
      <c r="I17" s="16"/>
      <c r="J17" s="16"/>
      <c r="K17" s="17" t="s">
        <v>108</v>
      </c>
      <c r="L17" s="17" t="s">
        <v>109</v>
      </c>
      <c r="M17" s="18"/>
      <c r="N17" s="19" t="str">
        <f t="shared" si="0"/>
        <v/>
      </c>
      <c r="O17" s="18"/>
      <c r="P17" s="16"/>
      <c r="Q17" s="16"/>
    </row>
    <row r="18" spans="1:17" x14ac:dyDescent="0.45">
      <c r="A18" s="15">
        <v>16</v>
      </c>
      <c r="B18" s="15" t="s">
        <v>63</v>
      </c>
      <c r="C18" s="15" t="s">
        <v>138</v>
      </c>
      <c r="D18" s="15" t="s">
        <v>141</v>
      </c>
      <c r="E18" s="15" t="s">
        <v>97</v>
      </c>
      <c r="F18" s="15" t="s">
        <v>112</v>
      </c>
      <c r="G18" s="15" t="s">
        <v>142</v>
      </c>
      <c r="H18" s="16"/>
      <c r="I18" s="16"/>
      <c r="J18" s="16"/>
      <c r="K18" s="17" t="s">
        <v>108</v>
      </c>
      <c r="L18" s="17" t="s">
        <v>109</v>
      </c>
      <c r="M18" s="18"/>
      <c r="N18" s="19" t="str">
        <f t="shared" si="0"/>
        <v/>
      </c>
      <c r="O18" s="18"/>
      <c r="P18" s="16"/>
      <c r="Q18" s="16"/>
    </row>
    <row r="19" spans="1:17" ht="25.5" x14ac:dyDescent="0.45">
      <c r="A19" s="15">
        <v>17</v>
      </c>
      <c r="B19" s="15" t="s">
        <v>63</v>
      </c>
      <c r="C19" s="15" t="s">
        <v>138</v>
      </c>
      <c r="D19" s="15" t="s">
        <v>143</v>
      </c>
      <c r="E19" s="15" t="s">
        <v>97</v>
      </c>
      <c r="F19" s="15" t="s">
        <v>98</v>
      </c>
      <c r="G19" s="15"/>
      <c r="H19" s="16"/>
      <c r="I19" s="16"/>
      <c r="J19" s="16"/>
      <c r="K19" s="17" t="s">
        <v>108</v>
      </c>
      <c r="L19" s="17" t="s">
        <v>109</v>
      </c>
      <c r="M19" s="18"/>
      <c r="N19" s="19" t="str">
        <f t="shared" si="0"/>
        <v/>
      </c>
      <c r="O19" s="18"/>
      <c r="P19" s="16"/>
      <c r="Q19" s="16"/>
    </row>
    <row r="20" spans="1:17" x14ac:dyDescent="0.45">
      <c r="A20" s="15">
        <v>18</v>
      </c>
      <c r="B20" s="15" t="s">
        <v>63</v>
      </c>
      <c r="C20" s="15" t="s">
        <v>138</v>
      </c>
      <c r="D20" s="15" t="s">
        <v>144</v>
      </c>
      <c r="E20" s="15" t="s">
        <v>97</v>
      </c>
      <c r="F20" s="15" t="s">
        <v>98</v>
      </c>
      <c r="G20" s="15"/>
      <c r="H20" s="16"/>
      <c r="I20" s="16"/>
      <c r="J20" s="16"/>
      <c r="K20" s="17" t="s">
        <v>108</v>
      </c>
      <c r="L20" s="17" t="s">
        <v>109</v>
      </c>
      <c r="M20" s="18"/>
      <c r="N20" s="19" t="str">
        <f t="shared" si="0"/>
        <v/>
      </c>
      <c r="O20" s="18"/>
      <c r="P20" s="16"/>
      <c r="Q20" s="16"/>
    </row>
    <row r="21" spans="1:17" x14ac:dyDescent="0.45">
      <c r="A21" s="15">
        <v>19</v>
      </c>
      <c r="B21" s="15" t="s">
        <v>63</v>
      </c>
      <c r="C21" s="15" t="s">
        <v>138</v>
      </c>
      <c r="D21" s="15" t="s">
        <v>145</v>
      </c>
      <c r="E21" s="15" t="s">
        <v>115</v>
      </c>
      <c r="F21" s="15" t="s">
        <v>146</v>
      </c>
      <c r="G21" s="15" t="s">
        <v>147</v>
      </c>
      <c r="H21" s="16"/>
      <c r="I21" s="16"/>
      <c r="J21" s="16"/>
      <c r="K21" s="17" t="s">
        <v>108</v>
      </c>
      <c r="L21" s="17" t="s">
        <v>109</v>
      </c>
      <c r="M21" s="18"/>
      <c r="N21" s="19" t="str">
        <f t="shared" si="0"/>
        <v/>
      </c>
      <c r="O21" s="18"/>
      <c r="P21" s="16"/>
      <c r="Q21" s="16"/>
    </row>
    <row r="22" spans="1:17" ht="25.5" x14ac:dyDescent="0.45">
      <c r="A22" s="15">
        <v>20</v>
      </c>
      <c r="B22" s="15" t="s">
        <v>63</v>
      </c>
      <c r="C22" s="15" t="s">
        <v>138</v>
      </c>
      <c r="D22" s="15" t="s">
        <v>148</v>
      </c>
      <c r="E22" s="15" t="s">
        <v>121</v>
      </c>
      <c r="F22" s="15" t="s">
        <v>98</v>
      </c>
      <c r="G22" s="15"/>
      <c r="H22" s="16"/>
      <c r="I22" s="16"/>
      <c r="J22" s="16"/>
      <c r="K22" s="17" t="s">
        <v>108</v>
      </c>
      <c r="L22" s="17" t="s">
        <v>109</v>
      </c>
      <c r="M22" s="18"/>
      <c r="N22" s="19" t="str">
        <f t="shared" si="0"/>
        <v/>
      </c>
      <c r="O22" s="18"/>
      <c r="P22" s="16"/>
      <c r="Q22" s="16"/>
    </row>
    <row r="23" spans="1:17" x14ac:dyDescent="0.45">
      <c r="A23" s="15">
        <v>21</v>
      </c>
      <c r="B23" s="15" t="s">
        <v>63</v>
      </c>
      <c r="C23" s="15" t="s">
        <v>138</v>
      </c>
      <c r="D23" s="15" t="s">
        <v>149</v>
      </c>
      <c r="E23" s="15" t="s">
        <v>130</v>
      </c>
      <c r="F23" s="15" t="s">
        <v>98</v>
      </c>
      <c r="G23" s="15"/>
      <c r="H23" s="16"/>
      <c r="I23" s="16"/>
      <c r="J23" s="16"/>
      <c r="K23" s="17" t="s">
        <v>108</v>
      </c>
      <c r="L23" s="17" t="s">
        <v>109</v>
      </c>
      <c r="M23" s="18"/>
      <c r="N23" s="19" t="str">
        <f t="shared" si="0"/>
        <v/>
      </c>
      <c r="O23" s="18"/>
      <c r="P23" s="16"/>
      <c r="Q23" s="16"/>
    </row>
    <row r="24" spans="1:17" ht="25.5" x14ac:dyDescent="0.45">
      <c r="A24" s="15">
        <v>22</v>
      </c>
      <c r="B24" s="15" t="s">
        <v>63</v>
      </c>
      <c r="C24" s="15" t="s">
        <v>138</v>
      </c>
      <c r="D24" s="15" t="s">
        <v>150</v>
      </c>
      <c r="E24" s="15" t="s">
        <v>97</v>
      </c>
      <c r="F24" s="15" t="s">
        <v>151</v>
      </c>
      <c r="G24" s="15"/>
      <c r="H24" s="16"/>
      <c r="I24" s="16"/>
      <c r="J24" s="16"/>
      <c r="K24" s="17" t="s">
        <v>108</v>
      </c>
      <c r="L24" s="17" t="s">
        <v>109</v>
      </c>
      <c r="M24" s="18"/>
      <c r="N24" s="19" t="str">
        <f t="shared" si="0"/>
        <v/>
      </c>
      <c r="O24" s="18"/>
      <c r="P24" s="16"/>
      <c r="Q24" s="16"/>
    </row>
    <row r="25" spans="1:17" x14ac:dyDescent="0.45">
      <c r="A25" s="15">
        <v>23</v>
      </c>
      <c r="B25" s="15" t="s">
        <v>64</v>
      </c>
      <c r="C25" s="15" t="s">
        <v>152</v>
      </c>
      <c r="D25" s="15" t="s">
        <v>153</v>
      </c>
      <c r="E25" s="15" t="s">
        <v>97</v>
      </c>
      <c r="F25" s="15" t="s">
        <v>98</v>
      </c>
      <c r="G25" s="15"/>
      <c r="H25" s="16"/>
      <c r="I25" s="16"/>
      <c r="J25" s="16"/>
      <c r="K25" s="17" t="s">
        <v>108</v>
      </c>
      <c r="L25" s="17" t="s">
        <v>109</v>
      </c>
      <c r="M25" s="18"/>
      <c r="N25" s="19" t="str">
        <f t="shared" si="0"/>
        <v/>
      </c>
      <c r="O25" s="18"/>
      <c r="P25" s="16"/>
      <c r="Q25" s="16"/>
    </row>
    <row r="26" spans="1:17" x14ac:dyDescent="0.45">
      <c r="A26" s="15">
        <v>24</v>
      </c>
      <c r="B26" s="15" t="s">
        <v>64</v>
      </c>
      <c r="C26" s="15" t="s">
        <v>152</v>
      </c>
      <c r="D26" s="15" t="s">
        <v>154</v>
      </c>
      <c r="E26" s="15" t="s">
        <v>97</v>
      </c>
      <c r="F26" s="15" t="s">
        <v>98</v>
      </c>
      <c r="G26" s="15"/>
      <c r="H26" s="16"/>
      <c r="I26" s="16"/>
      <c r="J26" s="16"/>
      <c r="K26" s="17" t="s">
        <v>108</v>
      </c>
      <c r="L26" s="17" t="s">
        <v>109</v>
      </c>
      <c r="M26" s="18"/>
      <c r="N26" s="19" t="str">
        <f t="shared" si="0"/>
        <v/>
      </c>
      <c r="O26" s="18"/>
      <c r="P26" s="16"/>
      <c r="Q26" s="16"/>
    </row>
    <row r="27" spans="1:17" ht="25.5" x14ac:dyDescent="0.45">
      <c r="A27" s="15">
        <v>25</v>
      </c>
      <c r="B27" s="15" t="s">
        <v>64</v>
      </c>
      <c r="C27" s="15" t="s">
        <v>152</v>
      </c>
      <c r="D27" s="15" t="s">
        <v>155</v>
      </c>
      <c r="E27" s="15" t="s">
        <v>97</v>
      </c>
      <c r="F27" s="15" t="s">
        <v>98</v>
      </c>
      <c r="G27" s="15"/>
      <c r="H27" s="16"/>
      <c r="I27" s="16"/>
      <c r="J27" s="16"/>
      <c r="K27" s="17" t="s">
        <v>108</v>
      </c>
      <c r="L27" s="17" t="s">
        <v>109</v>
      </c>
      <c r="M27" s="18"/>
      <c r="N27" s="19" t="str">
        <f t="shared" si="0"/>
        <v/>
      </c>
      <c r="O27" s="18"/>
      <c r="P27" s="16"/>
      <c r="Q27" s="16"/>
    </row>
    <row r="28" spans="1:17" x14ac:dyDescent="0.45">
      <c r="A28" s="15">
        <v>26</v>
      </c>
      <c r="B28" s="15" t="s">
        <v>64</v>
      </c>
      <c r="C28" s="15" t="s">
        <v>152</v>
      </c>
      <c r="D28" s="15" t="s">
        <v>156</v>
      </c>
      <c r="E28" s="15" t="s">
        <v>115</v>
      </c>
      <c r="F28" s="15" t="s">
        <v>98</v>
      </c>
      <c r="G28" s="15" t="s">
        <v>157</v>
      </c>
      <c r="H28" s="16"/>
      <c r="I28" s="16"/>
      <c r="J28" s="16"/>
      <c r="K28" s="17" t="s">
        <v>108</v>
      </c>
      <c r="L28" s="17" t="s">
        <v>109</v>
      </c>
      <c r="M28" s="18"/>
      <c r="N28" s="19" t="str">
        <f t="shared" si="0"/>
        <v/>
      </c>
      <c r="O28" s="18"/>
      <c r="P28" s="16"/>
      <c r="Q28" s="16"/>
    </row>
    <row r="29" spans="1:17" ht="25.5" x14ac:dyDescent="0.45">
      <c r="A29" s="15">
        <v>27</v>
      </c>
      <c r="B29" s="15" t="s">
        <v>64</v>
      </c>
      <c r="C29" s="15" t="s">
        <v>152</v>
      </c>
      <c r="D29" s="15" t="s">
        <v>158</v>
      </c>
      <c r="E29" s="15" t="s">
        <v>130</v>
      </c>
      <c r="F29" s="15" t="s">
        <v>98</v>
      </c>
      <c r="G29" s="15"/>
      <c r="H29" s="16"/>
      <c r="I29" s="16"/>
      <c r="J29" s="16"/>
      <c r="K29" s="17" t="s">
        <v>108</v>
      </c>
      <c r="L29" s="17" t="s">
        <v>109</v>
      </c>
      <c r="M29" s="18"/>
      <c r="N29" s="19" t="str">
        <f t="shared" si="0"/>
        <v/>
      </c>
      <c r="O29" s="18"/>
      <c r="P29" s="16"/>
      <c r="Q29" s="16"/>
    </row>
    <row r="30" spans="1:17" x14ac:dyDescent="0.45">
      <c r="A30" s="15">
        <v>28</v>
      </c>
      <c r="B30" s="15" t="s">
        <v>64</v>
      </c>
      <c r="C30" s="15" t="s">
        <v>152</v>
      </c>
      <c r="D30" s="15" t="s">
        <v>159</v>
      </c>
      <c r="E30" s="15" t="s">
        <v>121</v>
      </c>
      <c r="F30" s="15" t="s">
        <v>112</v>
      </c>
      <c r="G30" s="15"/>
      <c r="H30" s="16"/>
      <c r="I30" s="16"/>
      <c r="J30" s="16"/>
      <c r="K30" s="17" t="s">
        <v>108</v>
      </c>
      <c r="L30" s="17" t="s">
        <v>109</v>
      </c>
      <c r="M30" s="18"/>
      <c r="N30" s="19" t="str">
        <f t="shared" si="0"/>
        <v/>
      </c>
      <c r="O30" s="18"/>
      <c r="P30" s="16"/>
      <c r="Q30" s="16"/>
    </row>
    <row r="31" spans="1:17" x14ac:dyDescent="0.45">
      <c r="A31" s="15">
        <v>29</v>
      </c>
      <c r="B31" s="15" t="s">
        <v>64</v>
      </c>
      <c r="C31" s="15" t="s">
        <v>152</v>
      </c>
      <c r="D31" s="15" t="s">
        <v>160</v>
      </c>
      <c r="E31" s="15" t="s">
        <v>115</v>
      </c>
      <c r="F31" s="15" t="s">
        <v>134</v>
      </c>
      <c r="G31" s="15" t="s">
        <v>161</v>
      </c>
      <c r="H31" s="16"/>
      <c r="I31" s="16"/>
      <c r="J31" s="16"/>
      <c r="K31" s="17" t="s">
        <v>108</v>
      </c>
      <c r="L31" s="17" t="s">
        <v>109</v>
      </c>
      <c r="M31" s="18"/>
      <c r="N31" s="19" t="str">
        <f t="shared" si="0"/>
        <v/>
      </c>
      <c r="O31" s="18"/>
      <c r="P31" s="16"/>
      <c r="Q31" s="16"/>
    </row>
    <row r="32" spans="1:17" ht="25.5" x14ac:dyDescent="0.45">
      <c r="A32" s="15">
        <v>30</v>
      </c>
      <c r="B32" s="15" t="s">
        <v>64</v>
      </c>
      <c r="C32" s="15" t="s">
        <v>152</v>
      </c>
      <c r="D32" s="15" t="s">
        <v>162</v>
      </c>
      <c r="E32" s="15" t="s">
        <v>97</v>
      </c>
      <c r="F32" s="15" t="s">
        <v>163</v>
      </c>
      <c r="G32" s="15"/>
      <c r="H32" s="16"/>
      <c r="I32" s="16"/>
      <c r="J32" s="16"/>
      <c r="K32" s="17" t="s">
        <v>108</v>
      </c>
      <c r="L32" s="17" t="s">
        <v>109</v>
      </c>
      <c r="M32" s="18"/>
      <c r="N32" s="19" t="str">
        <f t="shared" si="0"/>
        <v/>
      </c>
      <c r="O32" s="18"/>
      <c r="P32" s="16"/>
      <c r="Q32" s="16"/>
    </row>
    <row r="33" spans="1:17" x14ac:dyDescent="0.45">
      <c r="A33" s="15">
        <v>31</v>
      </c>
      <c r="B33" s="15" t="s">
        <v>65</v>
      </c>
      <c r="C33" s="15" t="s">
        <v>164</v>
      </c>
      <c r="D33" s="15" t="s">
        <v>165</v>
      </c>
      <c r="E33" s="15" t="s">
        <v>97</v>
      </c>
      <c r="F33" s="15" t="s">
        <v>98</v>
      </c>
      <c r="G33" s="15"/>
      <c r="H33" s="16"/>
      <c r="I33" s="16"/>
      <c r="J33" s="16"/>
      <c r="K33" s="17" t="s">
        <v>108</v>
      </c>
      <c r="L33" s="17" t="s">
        <v>109</v>
      </c>
      <c r="M33" s="18"/>
      <c r="N33" s="19" t="str">
        <f t="shared" si="0"/>
        <v/>
      </c>
      <c r="O33" s="18"/>
      <c r="P33" s="16"/>
      <c r="Q33" s="16"/>
    </row>
    <row r="34" spans="1:17" x14ac:dyDescent="0.45">
      <c r="A34" s="15">
        <v>32</v>
      </c>
      <c r="B34" s="15" t="s">
        <v>65</v>
      </c>
      <c r="C34" s="15" t="s">
        <v>164</v>
      </c>
      <c r="D34" s="15" t="s">
        <v>166</v>
      </c>
      <c r="E34" s="15" t="s">
        <v>97</v>
      </c>
      <c r="F34" s="15" t="s">
        <v>98</v>
      </c>
      <c r="G34" s="15"/>
      <c r="H34" s="16"/>
      <c r="I34" s="16"/>
      <c r="J34" s="16"/>
      <c r="K34" s="17" t="s">
        <v>108</v>
      </c>
      <c r="L34" s="17" t="s">
        <v>109</v>
      </c>
      <c r="M34" s="18"/>
      <c r="N34" s="19" t="str">
        <f t="shared" ref="N34:N65" si="1">IF(M34="","",M34+10)</f>
        <v/>
      </c>
      <c r="O34" s="18"/>
      <c r="P34" s="16"/>
      <c r="Q34" s="16"/>
    </row>
    <row r="35" spans="1:17" x14ac:dyDescent="0.45">
      <c r="A35" s="15">
        <v>33</v>
      </c>
      <c r="B35" s="15" t="s">
        <v>65</v>
      </c>
      <c r="C35" s="15" t="s">
        <v>164</v>
      </c>
      <c r="D35" s="15" t="s">
        <v>167</v>
      </c>
      <c r="E35" s="15" t="s">
        <v>97</v>
      </c>
      <c r="F35" s="15" t="s">
        <v>98</v>
      </c>
      <c r="G35" s="15"/>
      <c r="H35" s="16"/>
      <c r="I35" s="16"/>
      <c r="J35" s="16"/>
      <c r="K35" s="17" t="s">
        <v>108</v>
      </c>
      <c r="L35" s="17" t="s">
        <v>109</v>
      </c>
      <c r="M35" s="18"/>
      <c r="N35" s="19" t="str">
        <f t="shared" si="1"/>
        <v/>
      </c>
      <c r="O35" s="18"/>
      <c r="P35" s="16"/>
      <c r="Q35" s="16"/>
    </row>
    <row r="36" spans="1:17" x14ac:dyDescent="0.45">
      <c r="A36" s="15">
        <v>34</v>
      </c>
      <c r="B36" s="15" t="s">
        <v>65</v>
      </c>
      <c r="C36" s="15" t="s">
        <v>164</v>
      </c>
      <c r="D36" s="15" t="s">
        <v>168</v>
      </c>
      <c r="E36" s="15" t="s">
        <v>123</v>
      </c>
      <c r="F36" s="15" t="s">
        <v>98</v>
      </c>
      <c r="G36" s="15" t="s">
        <v>169</v>
      </c>
      <c r="H36" s="16"/>
      <c r="I36" s="16"/>
      <c r="J36" s="16"/>
      <c r="K36" s="17" t="s">
        <v>108</v>
      </c>
      <c r="L36" s="17" t="s">
        <v>109</v>
      </c>
      <c r="M36" s="18"/>
      <c r="N36" s="19" t="str">
        <f t="shared" si="1"/>
        <v/>
      </c>
      <c r="O36" s="18"/>
      <c r="P36" s="16"/>
      <c r="Q36" s="16"/>
    </row>
    <row r="37" spans="1:17" x14ac:dyDescent="0.45">
      <c r="A37" s="15">
        <v>35</v>
      </c>
      <c r="B37" s="15" t="s">
        <v>65</v>
      </c>
      <c r="C37" s="15" t="s">
        <v>164</v>
      </c>
      <c r="D37" s="15" t="s">
        <v>170</v>
      </c>
      <c r="E37" s="15" t="s">
        <v>123</v>
      </c>
      <c r="F37" s="15" t="s">
        <v>98</v>
      </c>
      <c r="G37" s="15"/>
      <c r="H37" s="16"/>
      <c r="I37" s="16"/>
      <c r="J37" s="16"/>
      <c r="K37" s="17" t="s">
        <v>108</v>
      </c>
      <c r="L37" s="17" t="s">
        <v>109</v>
      </c>
      <c r="M37" s="18"/>
      <c r="N37" s="19" t="str">
        <f t="shared" si="1"/>
        <v/>
      </c>
      <c r="O37" s="18"/>
      <c r="P37" s="16"/>
      <c r="Q37" s="16"/>
    </row>
    <row r="38" spans="1:17" x14ac:dyDescent="0.45">
      <c r="A38" s="15">
        <v>36</v>
      </c>
      <c r="B38" s="15" t="s">
        <v>65</v>
      </c>
      <c r="C38" s="15" t="s">
        <v>164</v>
      </c>
      <c r="D38" s="15" t="s">
        <v>171</v>
      </c>
      <c r="E38" s="15" t="s">
        <v>123</v>
      </c>
      <c r="F38" s="15" t="s">
        <v>98</v>
      </c>
      <c r="G38" s="15"/>
      <c r="H38" s="16"/>
      <c r="I38" s="16"/>
      <c r="J38" s="16"/>
      <c r="K38" s="17" t="s">
        <v>108</v>
      </c>
      <c r="L38" s="17" t="s">
        <v>109</v>
      </c>
      <c r="M38" s="18"/>
      <c r="N38" s="19" t="str">
        <f t="shared" si="1"/>
        <v/>
      </c>
      <c r="O38" s="18"/>
      <c r="P38" s="16"/>
      <c r="Q38" s="16"/>
    </row>
    <row r="39" spans="1:17" x14ac:dyDescent="0.45">
      <c r="A39" s="15">
        <v>37</v>
      </c>
      <c r="B39" s="15" t="s">
        <v>65</v>
      </c>
      <c r="C39" s="15" t="s">
        <v>164</v>
      </c>
      <c r="D39" s="15" t="s">
        <v>172</v>
      </c>
      <c r="E39" s="15" t="s">
        <v>123</v>
      </c>
      <c r="F39" s="15" t="s">
        <v>112</v>
      </c>
      <c r="G39" s="15" t="s">
        <v>173</v>
      </c>
      <c r="H39" s="16"/>
      <c r="I39" s="16"/>
      <c r="J39" s="16"/>
      <c r="K39" s="17" t="s">
        <v>108</v>
      </c>
      <c r="L39" s="17" t="s">
        <v>109</v>
      </c>
      <c r="M39" s="18"/>
      <c r="N39" s="19" t="str">
        <f t="shared" si="1"/>
        <v/>
      </c>
      <c r="O39" s="18"/>
      <c r="P39" s="16"/>
      <c r="Q39" s="16"/>
    </row>
    <row r="40" spans="1:17" x14ac:dyDescent="0.45">
      <c r="A40" s="15">
        <v>38</v>
      </c>
      <c r="B40" s="15" t="s">
        <v>65</v>
      </c>
      <c r="C40" s="15" t="s">
        <v>164</v>
      </c>
      <c r="D40" s="15" t="s">
        <v>174</v>
      </c>
      <c r="E40" s="15" t="s">
        <v>121</v>
      </c>
      <c r="F40" s="15" t="s">
        <v>98</v>
      </c>
      <c r="G40" s="15" t="s">
        <v>175</v>
      </c>
      <c r="H40" s="16"/>
      <c r="I40" s="16"/>
      <c r="J40" s="16"/>
      <c r="K40" s="17" t="s">
        <v>108</v>
      </c>
      <c r="L40" s="17" t="s">
        <v>109</v>
      </c>
      <c r="M40" s="18"/>
      <c r="N40" s="19" t="str">
        <f t="shared" si="1"/>
        <v/>
      </c>
      <c r="O40" s="18"/>
      <c r="P40" s="16"/>
      <c r="Q40" s="16"/>
    </row>
    <row r="41" spans="1:17" x14ac:dyDescent="0.45">
      <c r="A41" s="15">
        <v>39</v>
      </c>
      <c r="B41" s="15" t="s">
        <v>65</v>
      </c>
      <c r="C41" s="15" t="s">
        <v>164</v>
      </c>
      <c r="D41" s="15" t="s">
        <v>176</v>
      </c>
      <c r="E41" s="15" t="s">
        <v>121</v>
      </c>
      <c r="F41" s="15" t="s">
        <v>98</v>
      </c>
      <c r="G41" s="15" t="s">
        <v>177</v>
      </c>
      <c r="H41" s="16"/>
      <c r="I41" s="16"/>
      <c r="J41" s="16"/>
      <c r="K41" s="17" t="s">
        <v>108</v>
      </c>
      <c r="L41" s="17" t="s">
        <v>109</v>
      </c>
      <c r="M41" s="18"/>
      <c r="N41" s="19" t="str">
        <f t="shared" si="1"/>
        <v/>
      </c>
      <c r="O41" s="18"/>
      <c r="P41" s="16"/>
      <c r="Q41" s="16"/>
    </row>
    <row r="42" spans="1:17" x14ac:dyDescent="0.45">
      <c r="A42" s="15">
        <v>40</v>
      </c>
      <c r="B42" s="15" t="s">
        <v>65</v>
      </c>
      <c r="C42" s="15" t="s">
        <v>164</v>
      </c>
      <c r="D42" s="15" t="s">
        <v>178</v>
      </c>
      <c r="E42" s="15" t="s">
        <v>127</v>
      </c>
      <c r="F42" s="15" t="s">
        <v>98</v>
      </c>
      <c r="G42" s="15" t="s">
        <v>128</v>
      </c>
      <c r="H42" s="16"/>
      <c r="I42" s="16"/>
      <c r="J42" s="16"/>
      <c r="K42" s="17" t="s">
        <v>108</v>
      </c>
      <c r="L42" s="17" t="s">
        <v>109</v>
      </c>
      <c r="M42" s="18"/>
      <c r="N42" s="19" t="str">
        <f t="shared" si="1"/>
        <v/>
      </c>
      <c r="O42" s="18"/>
      <c r="P42" s="16"/>
      <c r="Q42" s="16"/>
    </row>
    <row r="43" spans="1:17" x14ac:dyDescent="0.45">
      <c r="A43" s="15">
        <v>41</v>
      </c>
      <c r="B43" s="15" t="s">
        <v>65</v>
      </c>
      <c r="C43" s="15" t="s">
        <v>164</v>
      </c>
      <c r="D43" s="15" t="s">
        <v>179</v>
      </c>
      <c r="E43" s="15" t="s">
        <v>127</v>
      </c>
      <c r="F43" s="15" t="s">
        <v>112</v>
      </c>
      <c r="G43" s="15"/>
      <c r="H43" s="16"/>
      <c r="I43" s="16"/>
      <c r="J43" s="16"/>
      <c r="K43" s="17" t="s">
        <v>108</v>
      </c>
      <c r="L43" s="17" t="s">
        <v>109</v>
      </c>
      <c r="M43" s="18"/>
      <c r="N43" s="19" t="str">
        <f t="shared" si="1"/>
        <v/>
      </c>
      <c r="O43" s="18"/>
      <c r="P43" s="16"/>
      <c r="Q43" s="16"/>
    </row>
    <row r="44" spans="1:17" x14ac:dyDescent="0.45">
      <c r="A44" s="15">
        <v>42</v>
      </c>
      <c r="B44" s="15" t="s">
        <v>65</v>
      </c>
      <c r="C44" s="15" t="s">
        <v>164</v>
      </c>
      <c r="D44" s="15" t="s">
        <v>180</v>
      </c>
      <c r="E44" s="15" t="s">
        <v>132</v>
      </c>
      <c r="F44" s="15" t="s">
        <v>112</v>
      </c>
      <c r="G44" s="15"/>
      <c r="H44" s="16"/>
      <c r="I44" s="16"/>
      <c r="J44" s="16"/>
      <c r="K44" s="17" t="s">
        <v>108</v>
      </c>
      <c r="L44" s="17" t="s">
        <v>109</v>
      </c>
      <c r="M44" s="18"/>
      <c r="N44" s="19" t="str">
        <f t="shared" si="1"/>
        <v/>
      </c>
      <c r="O44" s="18"/>
      <c r="P44" s="16"/>
      <c r="Q44" s="16"/>
    </row>
    <row r="45" spans="1:17" x14ac:dyDescent="0.45">
      <c r="A45" s="15">
        <v>43</v>
      </c>
      <c r="B45" s="15" t="s">
        <v>65</v>
      </c>
      <c r="C45" s="15" t="s">
        <v>164</v>
      </c>
      <c r="D45" s="15" t="s">
        <v>181</v>
      </c>
      <c r="E45" s="15" t="s">
        <v>115</v>
      </c>
      <c r="F45" s="15" t="s">
        <v>134</v>
      </c>
      <c r="G45" s="15" t="s">
        <v>182</v>
      </c>
      <c r="H45" s="16"/>
      <c r="I45" s="16"/>
      <c r="J45" s="16"/>
      <c r="K45" s="17" t="s">
        <v>108</v>
      </c>
      <c r="L45" s="17" t="s">
        <v>109</v>
      </c>
      <c r="M45" s="18"/>
      <c r="N45" s="19" t="str">
        <f t="shared" si="1"/>
        <v/>
      </c>
      <c r="O45" s="18"/>
      <c r="P45" s="16"/>
      <c r="Q45" s="16"/>
    </row>
    <row r="46" spans="1:17" ht="25.5" x14ac:dyDescent="0.45">
      <c r="A46" s="15">
        <v>44</v>
      </c>
      <c r="B46" s="15" t="s">
        <v>65</v>
      </c>
      <c r="C46" s="15" t="s">
        <v>164</v>
      </c>
      <c r="D46" s="15" t="s">
        <v>183</v>
      </c>
      <c r="E46" s="15" t="s">
        <v>115</v>
      </c>
      <c r="F46" s="15" t="s">
        <v>184</v>
      </c>
      <c r="G46" s="15" t="s">
        <v>185</v>
      </c>
      <c r="H46" s="16"/>
      <c r="I46" s="16"/>
      <c r="J46" s="16"/>
      <c r="K46" s="17" t="s">
        <v>108</v>
      </c>
      <c r="L46" s="17" t="s">
        <v>109</v>
      </c>
      <c r="M46" s="18"/>
      <c r="N46" s="19" t="str">
        <f t="shared" si="1"/>
        <v/>
      </c>
      <c r="O46" s="18"/>
      <c r="P46" s="16"/>
      <c r="Q46" s="16"/>
    </row>
    <row r="47" spans="1:17" ht="25.5" x14ac:dyDescent="0.45">
      <c r="A47" s="15">
        <v>45</v>
      </c>
      <c r="B47" s="15" t="s">
        <v>65</v>
      </c>
      <c r="C47" s="15" t="s">
        <v>164</v>
      </c>
      <c r="D47" s="15" t="s">
        <v>186</v>
      </c>
      <c r="E47" s="15" t="s">
        <v>97</v>
      </c>
      <c r="F47" s="15" t="s">
        <v>187</v>
      </c>
      <c r="G47" s="15"/>
      <c r="H47" s="16"/>
      <c r="I47" s="16"/>
      <c r="J47" s="16"/>
      <c r="K47" s="17" t="s">
        <v>108</v>
      </c>
      <c r="L47" s="17" t="s">
        <v>109</v>
      </c>
      <c r="M47" s="18"/>
      <c r="N47" s="19" t="str">
        <f t="shared" si="1"/>
        <v/>
      </c>
      <c r="O47" s="18"/>
      <c r="P47" s="16"/>
      <c r="Q47" s="16"/>
    </row>
    <row r="48" spans="1:17" ht="25.5" x14ac:dyDescent="0.45">
      <c r="A48" s="15">
        <v>46</v>
      </c>
      <c r="B48" s="15" t="s">
        <v>66</v>
      </c>
      <c r="C48" s="15" t="s">
        <v>188</v>
      </c>
      <c r="D48" s="15" t="s">
        <v>189</v>
      </c>
      <c r="E48" s="15" t="s">
        <v>97</v>
      </c>
      <c r="F48" s="15" t="s">
        <v>98</v>
      </c>
      <c r="G48" s="15"/>
      <c r="H48" s="16"/>
      <c r="I48" s="16"/>
      <c r="J48" s="16"/>
      <c r="K48" s="17" t="s">
        <v>108</v>
      </c>
      <c r="L48" s="17" t="s">
        <v>109</v>
      </c>
      <c r="M48" s="18"/>
      <c r="N48" s="19" t="str">
        <f t="shared" si="1"/>
        <v/>
      </c>
      <c r="O48" s="18"/>
      <c r="P48" s="16"/>
      <c r="Q48" s="16"/>
    </row>
    <row r="49" spans="1:17" x14ac:dyDescent="0.45">
      <c r="A49" s="15">
        <v>47</v>
      </c>
      <c r="B49" s="15" t="s">
        <v>66</v>
      </c>
      <c r="C49" s="15" t="s">
        <v>188</v>
      </c>
      <c r="D49" s="15" t="s">
        <v>190</v>
      </c>
      <c r="E49" s="15" t="s">
        <v>97</v>
      </c>
      <c r="F49" s="15" t="s">
        <v>98</v>
      </c>
      <c r="G49" s="15"/>
      <c r="H49" s="16"/>
      <c r="I49" s="16"/>
      <c r="J49" s="16"/>
      <c r="K49" s="17" t="s">
        <v>108</v>
      </c>
      <c r="L49" s="17" t="s">
        <v>109</v>
      </c>
      <c r="M49" s="18"/>
      <c r="N49" s="19" t="str">
        <f t="shared" si="1"/>
        <v/>
      </c>
      <c r="O49" s="18"/>
      <c r="P49" s="16"/>
      <c r="Q49" s="16"/>
    </row>
    <row r="50" spans="1:17" x14ac:dyDescent="0.45">
      <c r="A50" s="15">
        <v>48</v>
      </c>
      <c r="B50" s="15" t="s">
        <v>66</v>
      </c>
      <c r="C50" s="15" t="s">
        <v>188</v>
      </c>
      <c r="D50" s="15" t="s">
        <v>191</v>
      </c>
      <c r="E50" s="15" t="s">
        <v>97</v>
      </c>
      <c r="F50" s="15" t="s">
        <v>98</v>
      </c>
      <c r="G50" s="15" t="s">
        <v>192</v>
      </c>
      <c r="H50" s="16"/>
      <c r="I50" s="16"/>
      <c r="J50" s="16"/>
      <c r="K50" s="17" t="s">
        <v>108</v>
      </c>
      <c r="L50" s="17" t="s">
        <v>109</v>
      </c>
      <c r="M50" s="18"/>
      <c r="N50" s="19" t="str">
        <f t="shared" si="1"/>
        <v/>
      </c>
      <c r="O50" s="18"/>
      <c r="P50" s="16"/>
      <c r="Q50" s="16"/>
    </row>
    <row r="51" spans="1:17" ht="25.5" x14ac:dyDescent="0.45">
      <c r="A51" s="15">
        <v>49</v>
      </c>
      <c r="B51" s="15" t="s">
        <v>66</v>
      </c>
      <c r="C51" s="15" t="s">
        <v>188</v>
      </c>
      <c r="D51" s="15" t="s">
        <v>193</v>
      </c>
      <c r="E51" s="15" t="s">
        <v>97</v>
      </c>
      <c r="F51" s="15" t="s">
        <v>98</v>
      </c>
      <c r="G51" s="15"/>
      <c r="H51" s="16"/>
      <c r="I51" s="16"/>
      <c r="J51" s="16"/>
      <c r="K51" s="17" t="s">
        <v>108</v>
      </c>
      <c r="L51" s="17" t="s">
        <v>109</v>
      </c>
      <c r="M51" s="18"/>
      <c r="N51" s="19" t="str">
        <f t="shared" si="1"/>
        <v/>
      </c>
      <c r="O51" s="18"/>
      <c r="P51" s="16"/>
      <c r="Q51" s="16"/>
    </row>
    <row r="52" spans="1:17" ht="25.5" x14ac:dyDescent="0.45">
      <c r="A52" s="15">
        <v>50</v>
      </c>
      <c r="B52" s="15" t="s">
        <v>66</v>
      </c>
      <c r="C52" s="15" t="s">
        <v>188</v>
      </c>
      <c r="D52" s="15" t="s">
        <v>194</v>
      </c>
      <c r="E52" s="15" t="s">
        <v>97</v>
      </c>
      <c r="F52" s="15" t="s">
        <v>195</v>
      </c>
      <c r="G52" s="15"/>
      <c r="H52" s="16"/>
      <c r="I52" s="16"/>
      <c r="J52" s="16"/>
      <c r="K52" s="17" t="s">
        <v>108</v>
      </c>
      <c r="L52" s="17" t="s">
        <v>109</v>
      </c>
      <c r="M52" s="18"/>
      <c r="N52" s="19" t="str">
        <f t="shared" si="1"/>
        <v/>
      </c>
      <c r="O52" s="18"/>
      <c r="P52" s="16"/>
      <c r="Q52" s="16"/>
    </row>
    <row r="53" spans="1:17" ht="25.5" x14ac:dyDescent="0.45">
      <c r="A53" s="15">
        <v>51</v>
      </c>
      <c r="B53" s="15" t="s">
        <v>66</v>
      </c>
      <c r="C53" s="15" t="s">
        <v>188</v>
      </c>
      <c r="D53" s="15" t="s">
        <v>196</v>
      </c>
      <c r="E53" s="15" t="s">
        <v>121</v>
      </c>
      <c r="F53" s="15" t="s">
        <v>98</v>
      </c>
      <c r="G53" s="15"/>
      <c r="H53" s="16"/>
      <c r="I53" s="16"/>
      <c r="J53" s="16"/>
      <c r="K53" s="17" t="s">
        <v>108</v>
      </c>
      <c r="L53" s="17" t="s">
        <v>109</v>
      </c>
      <c r="M53" s="18"/>
      <c r="N53" s="19" t="str">
        <f t="shared" si="1"/>
        <v/>
      </c>
      <c r="O53" s="18"/>
      <c r="P53" s="16"/>
      <c r="Q53" s="16"/>
    </row>
    <row r="54" spans="1:17" x14ac:dyDescent="0.45">
      <c r="A54" s="15">
        <v>52</v>
      </c>
      <c r="B54" s="15" t="s">
        <v>66</v>
      </c>
      <c r="C54" s="15" t="s">
        <v>188</v>
      </c>
      <c r="D54" s="15" t="s">
        <v>197</v>
      </c>
      <c r="E54" s="15" t="s">
        <v>115</v>
      </c>
      <c r="F54" s="15" t="s">
        <v>146</v>
      </c>
      <c r="G54" s="15" t="s">
        <v>198</v>
      </c>
      <c r="H54" s="16"/>
      <c r="I54" s="16"/>
      <c r="J54" s="16"/>
      <c r="K54" s="17" t="s">
        <v>108</v>
      </c>
      <c r="L54" s="17" t="s">
        <v>109</v>
      </c>
      <c r="M54" s="18"/>
      <c r="N54" s="19" t="str">
        <f t="shared" si="1"/>
        <v/>
      </c>
      <c r="O54" s="18"/>
      <c r="P54" s="16"/>
      <c r="Q54" s="16"/>
    </row>
    <row r="55" spans="1:17" x14ac:dyDescent="0.45">
      <c r="A55" s="15">
        <v>53</v>
      </c>
      <c r="B55" s="15" t="s">
        <v>66</v>
      </c>
      <c r="C55" s="15" t="s">
        <v>188</v>
      </c>
      <c r="D55" s="15" t="s">
        <v>199</v>
      </c>
      <c r="E55" s="15" t="s">
        <v>115</v>
      </c>
      <c r="F55" s="15" t="s">
        <v>134</v>
      </c>
      <c r="G55" s="15" t="s">
        <v>200</v>
      </c>
      <c r="H55" s="16"/>
      <c r="I55" s="16"/>
      <c r="J55" s="16"/>
      <c r="K55" s="17" t="s">
        <v>108</v>
      </c>
      <c r="L55" s="17" t="s">
        <v>109</v>
      </c>
      <c r="M55" s="18"/>
      <c r="N55" s="19" t="str">
        <f t="shared" si="1"/>
        <v/>
      </c>
      <c r="O55" s="18"/>
      <c r="P55" s="16"/>
      <c r="Q55" s="16"/>
    </row>
    <row r="56" spans="1:17" x14ac:dyDescent="0.45">
      <c r="A56" s="15">
        <v>54</v>
      </c>
      <c r="B56" s="15" t="s">
        <v>67</v>
      </c>
      <c r="C56" s="15" t="s">
        <v>201</v>
      </c>
      <c r="D56" s="15" t="s">
        <v>202</v>
      </c>
      <c r="E56" s="15" t="s">
        <v>121</v>
      </c>
      <c r="F56" s="15" t="s">
        <v>98</v>
      </c>
      <c r="G56" s="15" t="s">
        <v>203</v>
      </c>
      <c r="H56" s="16"/>
      <c r="I56" s="16"/>
      <c r="J56" s="16"/>
      <c r="K56" s="17" t="s">
        <v>108</v>
      </c>
      <c r="L56" s="17" t="s">
        <v>109</v>
      </c>
      <c r="M56" s="18"/>
      <c r="N56" s="19" t="str">
        <f t="shared" si="1"/>
        <v/>
      </c>
      <c r="O56" s="18"/>
      <c r="P56" s="16"/>
      <c r="Q56" s="16"/>
    </row>
    <row r="57" spans="1:17" x14ac:dyDescent="0.45">
      <c r="A57" s="15">
        <v>55</v>
      </c>
      <c r="B57" s="15" t="s">
        <v>67</v>
      </c>
      <c r="C57" s="15" t="s">
        <v>201</v>
      </c>
      <c r="D57" s="15" t="s">
        <v>204</v>
      </c>
      <c r="E57" s="15" t="s">
        <v>121</v>
      </c>
      <c r="F57" s="15" t="s">
        <v>98</v>
      </c>
      <c r="G57" s="15" t="s">
        <v>205</v>
      </c>
      <c r="H57" s="16"/>
      <c r="I57" s="16"/>
      <c r="J57" s="16"/>
      <c r="K57" s="17" t="s">
        <v>108</v>
      </c>
      <c r="L57" s="17" t="s">
        <v>109</v>
      </c>
      <c r="M57" s="18"/>
      <c r="N57" s="19" t="str">
        <f t="shared" si="1"/>
        <v/>
      </c>
      <c r="O57" s="18"/>
      <c r="P57" s="16"/>
      <c r="Q57" s="16"/>
    </row>
    <row r="58" spans="1:17" x14ac:dyDescent="0.45">
      <c r="A58" s="15">
        <v>56</v>
      </c>
      <c r="B58" s="15" t="s">
        <v>67</v>
      </c>
      <c r="C58" s="15" t="s">
        <v>201</v>
      </c>
      <c r="D58" s="15" t="s">
        <v>206</v>
      </c>
      <c r="E58" s="15" t="s">
        <v>121</v>
      </c>
      <c r="F58" s="15" t="s">
        <v>112</v>
      </c>
      <c r="G58" s="15" t="s">
        <v>207</v>
      </c>
      <c r="H58" s="16"/>
      <c r="I58" s="16"/>
      <c r="J58" s="16"/>
      <c r="K58" s="17" t="s">
        <v>108</v>
      </c>
      <c r="L58" s="17" t="s">
        <v>109</v>
      </c>
      <c r="M58" s="18"/>
      <c r="N58" s="19" t="str">
        <f t="shared" si="1"/>
        <v/>
      </c>
      <c r="O58" s="18"/>
      <c r="P58" s="16"/>
      <c r="Q58" s="16"/>
    </row>
    <row r="59" spans="1:17" x14ac:dyDescent="0.45">
      <c r="A59" s="15">
        <v>57</v>
      </c>
      <c r="B59" s="15" t="s">
        <v>67</v>
      </c>
      <c r="C59" s="15" t="s">
        <v>201</v>
      </c>
      <c r="D59" s="15" t="s">
        <v>208</v>
      </c>
      <c r="E59" s="15" t="s">
        <v>97</v>
      </c>
      <c r="F59" s="15" t="s">
        <v>98</v>
      </c>
      <c r="G59" s="15"/>
      <c r="H59" s="16"/>
      <c r="I59" s="16"/>
      <c r="J59" s="16"/>
      <c r="K59" s="17" t="s">
        <v>108</v>
      </c>
      <c r="L59" s="17" t="s">
        <v>109</v>
      </c>
      <c r="M59" s="18"/>
      <c r="N59" s="19" t="str">
        <f t="shared" si="1"/>
        <v/>
      </c>
      <c r="O59" s="18"/>
      <c r="P59" s="16"/>
      <c r="Q59" s="16"/>
    </row>
    <row r="60" spans="1:17" x14ac:dyDescent="0.45">
      <c r="A60" s="15">
        <v>58</v>
      </c>
      <c r="B60" s="15" t="s">
        <v>67</v>
      </c>
      <c r="C60" s="15" t="s">
        <v>201</v>
      </c>
      <c r="D60" s="15" t="s">
        <v>209</v>
      </c>
      <c r="E60" s="15" t="s">
        <v>97</v>
      </c>
      <c r="F60" s="15" t="s">
        <v>98</v>
      </c>
      <c r="G60" s="15"/>
      <c r="H60" s="16"/>
      <c r="I60" s="16"/>
      <c r="J60" s="16"/>
      <c r="K60" s="17" t="s">
        <v>108</v>
      </c>
      <c r="L60" s="17" t="s">
        <v>109</v>
      </c>
      <c r="M60" s="18"/>
      <c r="N60" s="19" t="str">
        <f t="shared" si="1"/>
        <v/>
      </c>
      <c r="O60" s="18"/>
      <c r="P60" s="16"/>
      <c r="Q60" s="16"/>
    </row>
    <row r="61" spans="1:17" x14ac:dyDescent="0.45">
      <c r="A61" s="15">
        <v>59</v>
      </c>
      <c r="B61" s="15" t="s">
        <v>67</v>
      </c>
      <c r="C61" s="15" t="s">
        <v>201</v>
      </c>
      <c r="D61" s="15" t="s">
        <v>210</v>
      </c>
      <c r="E61" s="15" t="s">
        <v>132</v>
      </c>
      <c r="F61" s="15" t="s">
        <v>98</v>
      </c>
      <c r="G61" s="15"/>
      <c r="H61" s="16"/>
      <c r="I61" s="16"/>
      <c r="J61" s="16"/>
      <c r="K61" s="17" t="s">
        <v>108</v>
      </c>
      <c r="L61" s="17" t="s">
        <v>109</v>
      </c>
      <c r="M61" s="18"/>
      <c r="N61" s="19" t="str">
        <f t="shared" si="1"/>
        <v/>
      </c>
      <c r="O61" s="18"/>
      <c r="P61" s="16"/>
      <c r="Q61" s="16"/>
    </row>
    <row r="62" spans="1:17" ht="25.5" x14ac:dyDescent="0.45">
      <c r="A62" s="15">
        <v>60</v>
      </c>
      <c r="B62" s="15" t="s">
        <v>67</v>
      </c>
      <c r="C62" s="15" t="s">
        <v>201</v>
      </c>
      <c r="D62" s="15" t="s">
        <v>211</v>
      </c>
      <c r="E62" s="15" t="s">
        <v>115</v>
      </c>
      <c r="F62" s="15" t="s">
        <v>184</v>
      </c>
      <c r="G62" s="15" t="s">
        <v>212</v>
      </c>
      <c r="H62" s="16"/>
      <c r="I62" s="16"/>
      <c r="J62" s="16"/>
      <c r="K62" s="17" t="s">
        <v>108</v>
      </c>
      <c r="L62" s="17" t="s">
        <v>109</v>
      </c>
      <c r="M62" s="18"/>
      <c r="N62" s="19" t="str">
        <f t="shared" si="1"/>
        <v/>
      </c>
      <c r="O62" s="18"/>
      <c r="P62" s="16"/>
      <c r="Q62" s="16"/>
    </row>
    <row r="63" spans="1:17" ht="25.5" x14ac:dyDescent="0.45">
      <c r="A63" s="15">
        <v>61</v>
      </c>
      <c r="B63" s="15" t="s">
        <v>67</v>
      </c>
      <c r="C63" s="15" t="s">
        <v>201</v>
      </c>
      <c r="D63" s="15" t="s">
        <v>213</v>
      </c>
      <c r="E63" s="15" t="s">
        <v>121</v>
      </c>
      <c r="F63" s="15" t="s">
        <v>214</v>
      </c>
      <c r="G63" s="15"/>
      <c r="H63" s="16"/>
      <c r="I63" s="16"/>
      <c r="J63" s="16"/>
      <c r="K63" s="17" t="s">
        <v>108</v>
      </c>
      <c r="L63" s="17" t="s">
        <v>109</v>
      </c>
      <c r="M63" s="18"/>
      <c r="N63" s="19" t="str">
        <f t="shared" si="1"/>
        <v/>
      </c>
      <c r="O63" s="18"/>
      <c r="P63" s="16"/>
      <c r="Q63" s="16"/>
    </row>
    <row r="64" spans="1:17" x14ac:dyDescent="0.45">
      <c r="A64" s="15">
        <v>62</v>
      </c>
      <c r="B64" s="15" t="s">
        <v>68</v>
      </c>
      <c r="C64" s="15" t="s">
        <v>215</v>
      </c>
      <c r="D64" s="15" t="s">
        <v>216</v>
      </c>
      <c r="E64" s="15" t="s">
        <v>97</v>
      </c>
      <c r="F64" s="15" t="s">
        <v>98</v>
      </c>
      <c r="G64" s="15"/>
      <c r="H64" s="16"/>
      <c r="I64" s="16"/>
      <c r="J64" s="16"/>
      <c r="K64" s="17" t="s">
        <v>108</v>
      </c>
      <c r="L64" s="17" t="s">
        <v>109</v>
      </c>
      <c r="M64" s="18"/>
      <c r="N64" s="19" t="str">
        <f t="shared" si="1"/>
        <v/>
      </c>
      <c r="O64" s="18"/>
      <c r="P64" s="16"/>
      <c r="Q64" s="16"/>
    </row>
    <row r="65" spans="1:17" x14ac:dyDescent="0.45">
      <c r="A65" s="15">
        <v>63</v>
      </c>
      <c r="B65" s="15" t="s">
        <v>68</v>
      </c>
      <c r="C65" s="15" t="s">
        <v>215</v>
      </c>
      <c r="D65" s="15" t="s">
        <v>217</v>
      </c>
      <c r="E65" s="15" t="s">
        <v>97</v>
      </c>
      <c r="F65" s="15" t="s">
        <v>98</v>
      </c>
      <c r="G65" s="15"/>
      <c r="H65" s="16"/>
      <c r="I65" s="16"/>
      <c r="J65" s="16"/>
      <c r="K65" s="17" t="s">
        <v>108</v>
      </c>
      <c r="L65" s="17" t="s">
        <v>109</v>
      </c>
      <c r="M65" s="18"/>
      <c r="N65" s="19" t="str">
        <f t="shared" si="1"/>
        <v/>
      </c>
      <c r="O65" s="18"/>
      <c r="P65" s="16"/>
      <c r="Q65" s="16"/>
    </row>
    <row r="66" spans="1:17" x14ac:dyDescent="0.45">
      <c r="A66" s="15">
        <v>64</v>
      </c>
      <c r="B66" s="15" t="s">
        <v>68</v>
      </c>
      <c r="C66" s="15" t="s">
        <v>215</v>
      </c>
      <c r="D66" s="15" t="s">
        <v>218</v>
      </c>
      <c r="E66" s="15" t="s">
        <v>97</v>
      </c>
      <c r="F66" s="15" t="s">
        <v>98</v>
      </c>
      <c r="G66" s="15" t="s">
        <v>219</v>
      </c>
      <c r="H66" s="16"/>
      <c r="I66" s="16"/>
      <c r="J66" s="16"/>
      <c r="K66" s="17" t="s">
        <v>108</v>
      </c>
      <c r="L66" s="17" t="s">
        <v>109</v>
      </c>
      <c r="M66" s="18"/>
      <c r="N66" s="19" t="str">
        <f t="shared" ref="N66:N97" si="2">IF(M66="","",M66+10)</f>
        <v/>
      </c>
      <c r="O66" s="18"/>
      <c r="P66" s="16"/>
      <c r="Q66" s="16"/>
    </row>
    <row r="67" spans="1:17" x14ac:dyDescent="0.45">
      <c r="A67" s="15">
        <v>65</v>
      </c>
      <c r="B67" s="15" t="s">
        <v>68</v>
      </c>
      <c r="C67" s="15" t="s">
        <v>215</v>
      </c>
      <c r="D67" s="15" t="s">
        <v>220</v>
      </c>
      <c r="E67" s="15" t="s">
        <v>97</v>
      </c>
      <c r="F67" s="15" t="s">
        <v>98</v>
      </c>
      <c r="G67" s="15"/>
      <c r="H67" s="16"/>
      <c r="I67" s="16"/>
      <c r="J67" s="16"/>
      <c r="K67" s="17" t="s">
        <v>108</v>
      </c>
      <c r="L67" s="17" t="s">
        <v>109</v>
      </c>
      <c r="M67" s="18"/>
      <c r="N67" s="19" t="str">
        <f t="shared" si="2"/>
        <v/>
      </c>
      <c r="O67" s="18"/>
      <c r="P67" s="16"/>
      <c r="Q67" s="16"/>
    </row>
    <row r="68" spans="1:17" x14ac:dyDescent="0.45">
      <c r="A68" s="15">
        <v>66</v>
      </c>
      <c r="B68" s="15" t="s">
        <v>68</v>
      </c>
      <c r="C68" s="15" t="s">
        <v>215</v>
      </c>
      <c r="D68" s="15" t="s">
        <v>221</v>
      </c>
      <c r="E68" s="15" t="s">
        <v>97</v>
      </c>
      <c r="F68" s="15" t="s">
        <v>98</v>
      </c>
      <c r="G68" s="15"/>
      <c r="H68" s="16"/>
      <c r="I68" s="16"/>
      <c r="J68" s="16"/>
      <c r="K68" s="17" t="s">
        <v>108</v>
      </c>
      <c r="L68" s="17" t="s">
        <v>109</v>
      </c>
      <c r="M68" s="18"/>
      <c r="N68" s="19" t="str">
        <f t="shared" si="2"/>
        <v/>
      </c>
      <c r="O68" s="18"/>
      <c r="P68" s="16"/>
      <c r="Q68" s="16"/>
    </row>
    <row r="69" spans="1:17" ht="25.5" x14ac:dyDescent="0.45">
      <c r="A69" s="15">
        <v>67</v>
      </c>
      <c r="B69" s="15" t="s">
        <v>68</v>
      </c>
      <c r="C69" s="15" t="s">
        <v>215</v>
      </c>
      <c r="D69" s="15" t="s">
        <v>222</v>
      </c>
      <c r="E69" s="15" t="s">
        <v>121</v>
      </c>
      <c r="F69" s="15" t="s">
        <v>98</v>
      </c>
      <c r="G69" s="15"/>
      <c r="H69" s="16"/>
      <c r="I69" s="16"/>
      <c r="J69" s="16"/>
      <c r="K69" s="17" t="s">
        <v>108</v>
      </c>
      <c r="L69" s="17" t="s">
        <v>109</v>
      </c>
      <c r="M69" s="18"/>
      <c r="N69" s="19" t="str">
        <f t="shared" si="2"/>
        <v/>
      </c>
      <c r="O69" s="18"/>
      <c r="P69" s="16"/>
      <c r="Q69" s="16"/>
    </row>
    <row r="70" spans="1:17" x14ac:dyDescent="0.45">
      <c r="A70" s="15">
        <v>68</v>
      </c>
      <c r="B70" s="15" t="s">
        <v>68</v>
      </c>
      <c r="C70" s="15" t="s">
        <v>215</v>
      </c>
      <c r="D70" s="15" t="s">
        <v>223</v>
      </c>
      <c r="E70" s="15" t="s">
        <v>121</v>
      </c>
      <c r="F70" s="15" t="s">
        <v>98</v>
      </c>
      <c r="G70" s="15" t="s">
        <v>224</v>
      </c>
      <c r="H70" s="16"/>
      <c r="I70" s="16"/>
      <c r="J70" s="16"/>
      <c r="K70" s="17" t="s">
        <v>108</v>
      </c>
      <c r="L70" s="17" t="s">
        <v>109</v>
      </c>
      <c r="M70" s="18"/>
      <c r="N70" s="19" t="str">
        <f t="shared" si="2"/>
        <v/>
      </c>
      <c r="O70" s="18"/>
      <c r="P70" s="16"/>
      <c r="Q70" s="16"/>
    </row>
    <row r="71" spans="1:17" x14ac:dyDescent="0.45">
      <c r="A71" s="15">
        <v>69</v>
      </c>
      <c r="B71" s="15" t="s">
        <v>68</v>
      </c>
      <c r="C71" s="15" t="s">
        <v>215</v>
      </c>
      <c r="D71" s="15" t="s">
        <v>225</v>
      </c>
      <c r="E71" s="15" t="s">
        <v>121</v>
      </c>
      <c r="F71" s="15" t="s">
        <v>98</v>
      </c>
      <c r="G71" s="15" t="s">
        <v>226</v>
      </c>
      <c r="H71" s="16"/>
      <c r="I71" s="16"/>
      <c r="J71" s="16"/>
      <c r="K71" s="17" t="s">
        <v>108</v>
      </c>
      <c r="L71" s="17" t="s">
        <v>109</v>
      </c>
      <c r="M71" s="18"/>
      <c r="N71" s="19" t="str">
        <f t="shared" si="2"/>
        <v/>
      </c>
      <c r="O71" s="18"/>
      <c r="P71" s="16"/>
      <c r="Q71" s="16"/>
    </row>
    <row r="72" spans="1:17" ht="25.5" x14ac:dyDescent="0.45">
      <c r="A72" s="15">
        <v>70</v>
      </c>
      <c r="B72" s="15" t="s">
        <v>68</v>
      </c>
      <c r="C72" s="15" t="s">
        <v>215</v>
      </c>
      <c r="D72" s="15" t="s">
        <v>227</v>
      </c>
      <c r="E72" s="15" t="s">
        <v>121</v>
      </c>
      <c r="F72" s="15" t="s">
        <v>228</v>
      </c>
      <c r="G72" s="15"/>
      <c r="H72" s="16"/>
      <c r="I72" s="16"/>
      <c r="J72" s="16"/>
      <c r="K72" s="17" t="s">
        <v>108</v>
      </c>
      <c r="L72" s="17" t="s">
        <v>109</v>
      </c>
      <c r="M72" s="18"/>
      <c r="N72" s="19" t="str">
        <f t="shared" si="2"/>
        <v/>
      </c>
      <c r="O72" s="18"/>
      <c r="P72" s="16"/>
      <c r="Q72" s="16"/>
    </row>
    <row r="73" spans="1:17" x14ac:dyDescent="0.45">
      <c r="A73" s="15">
        <v>71</v>
      </c>
      <c r="B73" s="15" t="s">
        <v>68</v>
      </c>
      <c r="C73" s="15" t="s">
        <v>215</v>
      </c>
      <c r="D73" s="15" t="s">
        <v>229</v>
      </c>
      <c r="E73" s="15" t="s">
        <v>115</v>
      </c>
      <c r="F73" s="15" t="s">
        <v>184</v>
      </c>
      <c r="G73" s="15" t="s">
        <v>230</v>
      </c>
      <c r="H73" s="16"/>
      <c r="I73" s="16"/>
      <c r="J73" s="16"/>
      <c r="K73" s="17" t="s">
        <v>108</v>
      </c>
      <c r="L73" s="17" t="s">
        <v>109</v>
      </c>
      <c r="M73" s="18"/>
      <c r="N73" s="19" t="str">
        <f t="shared" si="2"/>
        <v/>
      </c>
      <c r="O73" s="18"/>
      <c r="P73" s="16"/>
      <c r="Q73" s="16"/>
    </row>
    <row r="74" spans="1:17" x14ac:dyDescent="0.45">
      <c r="A74" s="15">
        <v>72</v>
      </c>
      <c r="B74" s="15" t="s">
        <v>68</v>
      </c>
      <c r="C74" s="15" t="s">
        <v>215</v>
      </c>
      <c r="D74" s="15" t="s">
        <v>231</v>
      </c>
      <c r="E74" s="15" t="s">
        <v>115</v>
      </c>
      <c r="F74" s="15" t="s">
        <v>134</v>
      </c>
      <c r="G74" s="15"/>
      <c r="H74" s="16"/>
      <c r="I74" s="16"/>
      <c r="J74" s="16"/>
      <c r="K74" s="17" t="s">
        <v>108</v>
      </c>
      <c r="L74" s="17" t="s">
        <v>109</v>
      </c>
      <c r="M74" s="18"/>
      <c r="N74" s="19" t="str">
        <f t="shared" si="2"/>
        <v/>
      </c>
      <c r="O74" s="18"/>
      <c r="P74" s="16"/>
      <c r="Q74" s="16"/>
    </row>
    <row r="75" spans="1:17" ht="25.5" x14ac:dyDescent="0.45">
      <c r="A75" s="15">
        <v>73</v>
      </c>
      <c r="B75" s="15" t="s">
        <v>68</v>
      </c>
      <c r="C75" s="15" t="s">
        <v>215</v>
      </c>
      <c r="D75" s="15" t="s">
        <v>232</v>
      </c>
      <c r="E75" s="15" t="s">
        <v>97</v>
      </c>
      <c r="F75" s="15" t="s">
        <v>233</v>
      </c>
      <c r="G75" s="15"/>
      <c r="H75" s="16"/>
      <c r="I75" s="16"/>
      <c r="J75" s="16"/>
      <c r="K75" s="17" t="s">
        <v>108</v>
      </c>
      <c r="L75" s="17" t="s">
        <v>109</v>
      </c>
      <c r="M75" s="18"/>
      <c r="N75" s="19" t="str">
        <f t="shared" si="2"/>
        <v/>
      </c>
      <c r="O75" s="18"/>
      <c r="P75" s="16"/>
      <c r="Q75" s="16"/>
    </row>
    <row r="76" spans="1:17" x14ac:dyDescent="0.45">
      <c r="A76" s="15">
        <v>74</v>
      </c>
      <c r="B76" s="15" t="s">
        <v>69</v>
      </c>
      <c r="C76" s="15" t="s">
        <v>234</v>
      </c>
      <c r="D76" s="15" t="s">
        <v>235</v>
      </c>
      <c r="E76" s="15" t="s">
        <v>115</v>
      </c>
      <c r="F76" s="15" t="s">
        <v>98</v>
      </c>
      <c r="G76" s="15" t="s">
        <v>236</v>
      </c>
      <c r="H76" s="16"/>
      <c r="I76" s="16"/>
      <c r="J76" s="16"/>
      <c r="K76" s="17" t="s">
        <v>108</v>
      </c>
      <c r="L76" s="17" t="s">
        <v>109</v>
      </c>
      <c r="M76" s="18"/>
      <c r="N76" s="19" t="str">
        <f t="shared" si="2"/>
        <v/>
      </c>
      <c r="O76" s="18"/>
      <c r="P76" s="16"/>
      <c r="Q76" s="16"/>
    </row>
    <row r="77" spans="1:17" ht="25.5" x14ac:dyDescent="0.45">
      <c r="A77" s="15">
        <v>75</v>
      </c>
      <c r="B77" s="15" t="s">
        <v>69</v>
      </c>
      <c r="C77" s="15" t="s">
        <v>234</v>
      </c>
      <c r="D77" s="15" t="s">
        <v>237</v>
      </c>
      <c r="E77" s="15" t="s">
        <v>97</v>
      </c>
      <c r="F77" s="15" t="s">
        <v>98</v>
      </c>
      <c r="G77" s="15"/>
      <c r="H77" s="16"/>
      <c r="I77" s="16"/>
      <c r="J77" s="16"/>
      <c r="K77" s="17" t="s">
        <v>108</v>
      </c>
      <c r="L77" s="17" t="s">
        <v>109</v>
      </c>
      <c r="M77" s="18"/>
      <c r="N77" s="19" t="str">
        <f t="shared" si="2"/>
        <v/>
      </c>
      <c r="O77" s="18"/>
      <c r="P77" s="16"/>
      <c r="Q77" s="16"/>
    </row>
    <row r="78" spans="1:17" ht="25.5" x14ac:dyDescent="0.45">
      <c r="A78" s="15">
        <v>76</v>
      </c>
      <c r="B78" s="15" t="s">
        <v>69</v>
      </c>
      <c r="C78" s="15" t="s">
        <v>234</v>
      </c>
      <c r="D78" s="15" t="s">
        <v>238</v>
      </c>
      <c r="E78" s="15" t="s">
        <v>97</v>
      </c>
      <c r="F78" s="15" t="s">
        <v>98</v>
      </c>
      <c r="G78" s="15"/>
      <c r="H78" s="16"/>
      <c r="I78" s="16"/>
      <c r="J78" s="16"/>
      <c r="K78" s="17" t="s">
        <v>108</v>
      </c>
      <c r="L78" s="17" t="s">
        <v>109</v>
      </c>
      <c r="M78" s="18"/>
      <c r="N78" s="19" t="str">
        <f t="shared" si="2"/>
        <v/>
      </c>
      <c r="O78" s="18"/>
      <c r="P78" s="16"/>
      <c r="Q78" s="16"/>
    </row>
    <row r="79" spans="1:17" x14ac:dyDescent="0.45">
      <c r="A79" s="15">
        <v>77</v>
      </c>
      <c r="B79" s="15" t="s">
        <v>69</v>
      </c>
      <c r="C79" s="15" t="s">
        <v>234</v>
      </c>
      <c r="D79" s="15" t="s">
        <v>239</v>
      </c>
      <c r="E79" s="15" t="s">
        <v>97</v>
      </c>
      <c r="F79" s="15" t="s">
        <v>98</v>
      </c>
      <c r="G79" s="15"/>
      <c r="H79" s="16"/>
      <c r="I79" s="16"/>
      <c r="J79" s="16"/>
      <c r="K79" s="17" t="s">
        <v>108</v>
      </c>
      <c r="L79" s="17" t="s">
        <v>109</v>
      </c>
      <c r="M79" s="18"/>
      <c r="N79" s="19" t="str">
        <f t="shared" si="2"/>
        <v/>
      </c>
      <c r="O79" s="18"/>
      <c r="P79" s="16"/>
      <c r="Q79" s="16"/>
    </row>
    <row r="80" spans="1:17" x14ac:dyDescent="0.45">
      <c r="A80" s="15">
        <v>78</v>
      </c>
      <c r="B80" s="15" t="s">
        <v>69</v>
      </c>
      <c r="C80" s="15" t="s">
        <v>234</v>
      </c>
      <c r="D80" s="15" t="s">
        <v>240</v>
      </c>
      <c r="E80" s="15" t="s">
        <v>97</v>
      </c>
      <c r="F80" s="15" t="s">
        <v>98</v>
      </c>
      <c r="G80" s="15"/>
      <c r="H80" s="16"/>
      <c r="I80" s="16"/>
      <c r="J80" s="16"/>
      <c r="K80" s="17" t="s">
        <v>108</v>
      </c>
      <c r="L80" s="17" t="s">
        <v>109</v>
      </c>
      <c r="M80" s="18"/>
      <c r="N80" s="19" t="str">
        <f t="shared" si="2"/>
        <v/>
      </c>
      <c r="O80" s="18"/>
      <c r="P80" s="16"/>
      <c r="Q80" s="16"/>
    </row>
    <row r="81" spans="1:17" ht="25.5" x14ac:dyDescent="0.45">
      <c r="A81" s="15">
        <v>79</v>
      </c>
      <c r="B81" s="15" t="s">
        <v>69</v>
      </c>
      <c r="C81" s="15" t="s">
        <v>234</v>
      </c>
      <c r="D81" s="15" t="s">
        <v>241</v>
      </c>
      <c r="E81" s="15" t="s">
        <v>121</v>
      </c>
      <c r="F81" s="15" t="s">
        <v>98</v>
      </c>
      <c r="G81" s="15"/>
      <c r="H81" s="16"/>
      <c r="I81" s="16"/>
      <c r="J81" s="16"/>
      <c r="K81" s="17" t="s">
        <v>108</v>
      </c>
      <c r="L81" s="17" t="s">
        <v>109</v>
      </c>
      <c r="M81" s="18"/>
      <c r="N81" s="19" t="str">
        <f t="shared" si="2"/>
        <v/>
      </c>
      <c r="O81" s="18"/>
      <c r="P81" s="16"/>
      <c r="Q81" s="16"/>
    </row>
    <row r="82" spans="1:17" x14ac:dyDescent="0.45">
      <c r="A82" s="15">
        <v>80</v>
      </c>
      <c r="B82" s="15" t="s">
        <v>69</v>
      </c>
      <c r="C82" s="15" t="s">
        <v>234</v>
      </c>
      <c r="D82" s="15" t="s">
        <v>242</v>
      </c>
      <c r="E82" s="15" t="s">
        <v>121</v>
      </c>
      <c r="F82" s="15" t="s">
        <v>98</v>
      </c>
      <c r="G82" s="15" t="s">
        <v>243</v>
      </c>
      <c r="H82" s="16"/>
      <c r="I82" s="16"/>
      <c r="J82" s="16"/>
      <c r="K82" s="17" t="s">
        <v>108</v>
      </c>
      <c r="L82" s="17" t="s">
        <v>109</v>
      </c>
      <c r="M82" s="18"/>
      <c r="N82" s="19" t="str">
        <f t="shared" si="2"/>
        <v/>
      </c>
      <c r="O82" s="18"/>
      <c r="P82" s="16"/>
      <c r="Q82" s="16"/>
    </row>
    <row r="83" spans="1:17" x14ac:dyDescent="0.45">
      <c r="A83" s="15">
        <v>81</v>
      </c>
      <c r="B83" s="15" t="s">
        <v>69</v>
      </c>
      <c r="C83" s="15" t="s">
        <v>234</v>
      </c>
      <c r="D83" s="15" t="s">
        <v>244</v>
      </c>
      <c r="E83" s="15" t="s">
        <v>115</v>
      </c>
      <c r="F83" s="15" t="s">
        <v>146</v>
      </c>
      <c r="G83" s="15" t="s">
        <v>245</v>
      </c>
      <c r="H83" s="16"/>
      <c r="I83" s="16"/>
      <c r="J83" s="16"/>
      <c r="K83" s="17" t="s">
        <v>108</v>
      </c>
      <c r="L83" s="17" t="s">
        <v>109</v>
      </c>
      <c r="M83" s="18"/>
      <c r="N83" s="19" t="str">
        <f t="shared" si="2"/>
        <v/>
      </c>
      <c r="O83" s="18"/>
      <c r="P83" s="16"/>
      <c r="Q83" s="16"/>
    </row>
    <row r="84" spans="1:17" x14ac:dyDescent="0.45">
      <c r="A84" s="15">
        <v>82</v>
      </c>
      <c r="B84" s="15" t="s">
        <v>69</v>
      </c>
      <c r="C84" s="15" t="s">
        <v>234</v>
      </c>
      <c r="D84" s="15" t="s">
        <v>246</v>
      </c>
      <c r="E84" s="15" t="s">
        <v>115</v>
      </c>
      <c r="F84" s="15" t="s">
        <v>134</v>
      </c>
      <c r="G84" s="15" t="s">
        <v>200</v>
      </c>
      <c r="H84" s="16"/>
      <c r="I84" s="16"/>
      <c r="J84" s="16"/>
      <c r="K84" s="17" t="s">
        <v>108</v>
      </c>
      <c r="L84" s="17" t="s">
        <v>109</v>
      </c>
      <c r="M84" s="18"/>
      <c r="N84" s="19" t="str">
        <f t="shared" si="2"/>
        <v/>
      </c>
      <c r="O84" s="18"/>
      <c r="P84" s="16"/>
      <c r="Q84" s="16"/>
    </row>
    <row r="85" spans="1:17" ht="25.5" x14ac:dyDescent="0.45">
      <c r="A85" s="15">
        <v>83</v>
      </c>
      <c r="B85" s="15" t="s">
        <v>69</v>
      </c>
      <c r="C85" s="15" t="s">
        <v>234</v>
      </c>
      <c r="D85" s="15" t="s">
        <v>247</v>
      </c>
      <c r="E85" s="15" t="s">
        <v>97</v>
      </c>
      <c r="F85" s="15" t="s">
        <v>248</v>
      </c>
      <c r="G85" s="15"/>
      <c r="H85" s="16"/>
      <c r="I85" s="16"/>
      <c r="J85" s="16"/>
      <c r="K85" s="17" t="s">
        <v>108</v>
      </c>
      <c r="L85" s="17" t="s">
        <v>109</v>
      </c>
      <c r="M85" s="18"/>
      <c r="N85" s="19" t="str">
        <f t="shared" si="2"/>
        <v/>
      </c>
      <c r="O85" s="18"/>
      <c r="P85" s="16"/>
      <c r="Q85" s="16"/>
    </row>
    <row r="86" spans="1:17" x14ac:dyDescent="0.45">
      <c r="A86" s="15">
        <v>84</v>
      </c>
      <c r="B86" s="15" t="s">
        <v>70</v>
      </c>
      <c r="C86" s="15" t="s">
        <v>249</v>
      </c>
      <c r="D86" s="15" t="s">
        <v>250</v>
      </c>
      <c r="E86" s="15" t="s">
        <v>97</v>
      </c>
      <c r="F86" s="15" t="s">
        <v>98</v>
      </c>
      <c r="G86" s="15"/>
      <c r="H86" s="16"/>
      <c r="I86" s="16"/>
      <c r="J86" s="16"/>
      <c r="K86" s="17" t="s">
        <v>108</v>
      </c>
      <c r="L86" s="17" t="s">
        <v>109</v>
      </c>
      <c r="M86" s="18"/>
      <c r="N86" s="19" t="str">
        <f t="shared" si="2"/>
        <v/>
      </c>
      <c r="O86" s="18"/>
      <c r="P86" s="16"/>
      <c r="Q86" s="16"/>
    </row>
    <row r="87" spans="1:17" ht="25.5" x14ac:dyDescent="0.45">
      <c r="A87" s="15">
        <v>85</v>
      </c>
      <c r="B87" s="15" t="s">
        <v>70</v>
      </c>
      <c r="C87" s="15" t="s">
        <v>249</v>
      </c>
      <c r="D87" s="15" t="s">
        <v>251</v>
      </c>
      <c r="E87" s="15" t="s">
        <v>97</v>
      </c>
      <c r="F87" s="15" t="s">
        <v>98</v>
      </c>
      <c r="G87" s="15"/>
      <c r="H87" s="16"/>
      <c r="I87" s="16"/>
      <c r="J87" s="16"/>
      <c r="K87" s="17" t="s">
        <v>108</v>
      </c>
      <c r="L87" s="17" t="s">
        <v>109</v>
      </c>
      <c r="M87" s="18"/>
      <c r="N87" s="19" t="str">
        <f t="shared" si="2"/>
        <v/>
      </c>
      <c r="O87" s="18"/>
      <c r="P87" s="16"/>
      <c r="Q87" s="16"/>
    </row>
    <row r="88" spans="1:17" x14ac:dyDescent="0.45">
      <c r="A88" s="15">
        <v>86</v>
      </c>
      <c r="B88" s="15" t="s">
        <v>70</v>
      </c>
      <c r="C88" s="15" t="s">
        <v>249</v>
      </c>
      <c r="D88" s="15" t="s">
        <v>252</v>
      </c>
      <c r="E88" s="15" t="s">
        <v>97</v>
      </c>
      <c r="F88" s="15" t="s">
        <v>98</v>
      </c>
      <c r="G88" s="15" t="s">
        <v>253</v>
      </c>
      <c r="H88" s="16"/>
      <c r="I88" s="16"/>
      <c r="J88" s="16"/>
      <c r="K88" s="17" t="s">
        <v>108</v>
      </c>
      <c r="L88" s="17" t="s">
        <v>109</v>
      </c>
      <c r="M88" s="18"/>
      <c r="N88" s="19" t="str">
        <f t="shared" si="2"/>
        <v/>
      </c>
      <c r="O88" s="18"/>
      <c r="P88" s="16"/>
      <c r="Q88" s="16"/>
    </row>
    <row r="89" spans="1:17" x14ac:dyDescent="0.45">
      <c r="A89" s="15">
        <v>87</v>
      </c>
      <c r="B89" s="15" t="s">
        <v>70</v>
      </c>
      <c r="C89" s="15" t="s">
        <v>249</v>
      </c>
      <c r="D89" s="15" t="s">
        <v>254</v>
      </c>
      <c r="E89" s="15" t="s">
        <v>97</v>
      </c>
      <c r="F89" s="15" t="s">
        <v>98</v>
      </c>
      <c r="G89" s="15"/>
      <c r="H89" s="16"/>
      <c r="I89" s="16"/>
      <c r="J89" s="16"/>
      <c r="K89" s="17" t="s">
        <v>108</v>
      </c>
      <c r="L89" s="17" t="s">
        <v>109</v>
      </c>
      <c r="M89" s="18"/>
      <c r="N89" s="19" t="str">
        <f t="shared" si="2"/>
        <v/>
      </c>
      <c r="O89" s="18"/>
      <c r="P89" s="16"/>
      <c r="Q89" s="16"/>
    </row>
    <row r="90" spans="1:17" x14ac:dyDescent="0.45">
      <c r="A90" s="15">
        <v>88</v>
      </c>
      <c r="B90" s="15" t="s">
        <v>70</v>
      </c>
      <c r="C90" s="15" t="s">
        <v>249</v>
      </c>
      <c r="D90" s="15" t="s">
        <v>255</v>
      </c>
      <c r="E90" s="15" t="s">
        <v>121</v>
      </c>
      <c r="F90" s="15" t="s">
        <v>98</v>
      </c>
      <c r="G90" s="15"/>
      <c r="H90" s="16"/>
      <c r="I90" s="16"/>
      <c r="J90" s="16"/>
      <c r="K90" s="17" t="s">
        <v>108</v>
      </c>
      <c r="L90" s="17" t="s">
        <v>109</v>
      </c>
      <c r="M90" s="18"/>
      <c r="N90" s="19" t="str">
        <f t="shared" si="2"/>
        <v/>
      </c>
      <c r="O90" s="18"/>
      <c r="P90" s="16"/>
      <c r="Q90" s="16"/>
    </row>
    <row r="91" spans="1:17" x14ac:dyDescent="0.45">
      <c r="A91" s="15">
        <v>89</v>
      </c>
      <c r="B91" s="15" t="s">
        <v>70</v>
      </c>
      <c r="C91" s="15" t="s">
        <v>249</v>
      </c>
      <c r="D91" s="15" t="s">
        <v>256</v>
      </c>
      <c r="E91" s="15" t="s">
        <v>121</v>
      </c>
      <c r="F91" s="15" t="s">
        <v>98</v>
      </c>
      <c r="G91" s="15"/>
      <c r="H91" s="16"/>
      <c r="I91" s="16"/>
      <c r="J91" s="16"/>
      <c r="K91" s="17" t="s">
        <v>108</v>
      </c>
      <c r="L91" s="17" t="s">
        <v>109</v>
      </c>
      <c r="M91" s="18"/>
      <c r="N91" s="19" t="str">
        <f t="shared" si="2"/>
        <v/>
      </c>
      <c r="O91" s="18"/>
      <c r="P91" s="16"/>
      <c r="Q91" s="16"/>
    </row>
    <row r="92" spans="1:17" x14ac:dyDescent="0.45">
      <c r="A92" s="15">
        <v>90</v>
      </c>
      <c r="B92" s="15" t="s">
        <v>70</v>
      </c>
      <c r="C92" s="15" t="s">
        <v>249</v>
      </c>
      <c r="D92" s="15" t="s">
        <v>257</v>
      </c>
      <c r="E92" s="15" t="s">
        <v>123</v>
      </c>
      <c r="F92" s="15" t="s">
        <v>98</v>
      </c>
      <c r="G92" s="15"/>
      <c r="H92" s="16"/>
      <c r="I92" s="16"/>
      <c r="J92" s="16"/>
      <c r="K92" s="17" t="s">
        <v>108</v>
      </c>
      <c r="L92" s="17" t="s">
        <v>109</v>
      </c>
      <c r="M92" s="18"/>
      <c r="N92" s="19" t="str">
        <f t="shared" si="2"/>
        <v/>
      </c>
      <c r="O92" s="18"/>
      <c r="P92" s="16"/>
      <c r="Q92" s="16"/>
    </row>
    <row r="93" spans="1:17" x14ac:dyDescent="0.45">
      <c r="A93" s="15">
        <v>91</v>
      </c>
      <c r="B93" s="15" t="s">
        <v>70</v>
      </c>
      <c r="C93" s="15" t="s">
        <v>249</v>
      </c>
      <c r="D93" s="15" t="s">
        <v>258</v>
      </c>
      <c r="E93" s="15" t="s">
        <v>123</v>
      </c>
      <c r="F93" s="15" t="s">
        <v>98</v>
      </c>
      <c r="G93" s="15"/>
      <c r="H93" s="16"/>
      <c r="I93" s="16"/>
      <c r="J93" s="16"/>
      <c r="K93" s="17" t="s">
        <v>108</v>
      </c>
      <c r="L93" s="17" t="s">
        <v>109</v>
      </c>
      <c r="M93" s="18"/>
      <c r="N93" s="19" t="str">
        <f t="shared" si="2"/>
        <v/>
      </c>
      <c r="O93" s="18"/>
      <c r="P93" s="16"/>
      <c r="Q93" s="16"/>
    </row>
    <row r="94" spans="1:17" x14ac:dyDescent="0.45">
      <c r="A94" s="15">
        <v>92</v>
      </c>
      <c r="B94" s="15" t="s">
        <v>70</v>
      </c>
      <c r="C94" s="15" t="s">
        <v>249</v>
      </c>
      <c r="D94" s="15" t="s">
        <v>259</v>
      </c>
      <c r="E94" s="15" t="s">
        <v>130</v>
      </c>
      <c r="F94" s="15" t="s">
        <v>98</v>
      </c>
      <c r="G94" s="15"/>
      <c r="H94" s="16"/>
      <c r="I94" s="16"/>
      <c r="J94" s="16"/>
      <c r="K94" s="17" t="s">
        <v>108</v>
      </c>
      <c r="L94" s="17" t="s">
        <v>109</v>
      </c>
      <c r="M94" s="18"/>
      <c r="N94" s="19" t="str">
        <f t="shared" si="2"/>
        <v/>
      </c>
      <c r="O94" s="18"/>
      <c r="P94" s="16"/>
      <c r="Q94" s="16"/>
    </row>
    <row r="95" spans="1:17" x14ac:dyDescent="0.45">
      <c r="A95" s="15">
        <v>93</v>
      </c>
      <c r="B95" s="15" t="s">
        <v>70</v>
      </c>
      <c r="C95" s="15" t="s">
        <v>249</v>
      </c>
      <c r="D95" s="15" t="s">
        <v>260</v>
      </c>
      <c r="E95" s="15" t="s">
        <v>115</v>
      </c>
      <c r="F95" s="15" t="s">
        <v>184</v>
      </c>
      <c r="G95" s="15" t="s">
        <v>161</v>
      </c>
      <c r="H95" s="16"/>
      <c r="I95" s="16"/>
      <c r="J95" s="16"/>
      <c r="K95" s="17" t="s">
        <v>108</v>
      </c>
      <c r="L95" s="17" t="s">
        <v>109</v>
      </c>
      <c r="M95" s="18"/>
      <c r="N95" s="19" t="str">
        <f t="shared" si="2"/>
        <v/>
      </c>
      <c r="O95" s="18"/>
      <c r="P95" s="16"/>
      <c r="Q95" s="16"/>
    </row>
    <row r="96" spans="1:17" x14ac:dyDescent="0.45">
      <c r="A96" s="15">
        <v>94</v>
      </c>
      <c r="B96" s="15" t="s">
        <v>70</v>
      </c>
      <c r="C96" s="15" t="s">
        <v>249</v>
      </c>
      <c r="D96" s="15" t="s">
        <v>261</v>
      </c>
      <c r="E96" s="15" t="s">
        <v>115</v>
      </c>
      <c r="F96" s="15" t="s">
        <v>146</v>
      </c>
      <c r="G96" s="15" t="s">
        <v>262</v>
      </c>
      <c r="H96" s="16"/>
      <c r="I96" s="16"/>
      <c r="J96" s="16"/>
      <c r="K96" s="17" t="s">
        <v>108</v>
      </c>
      <c r="L96" s="17" t="s">
        <v>109</v>
      </c>
      <c r="M96" s="18"/>
      <c r="N96" s="19" t="str">
        <f t="shared" si="2"/>
        <v/>
      </c>
      <c r="O96" s="18"/>
      <c r="P96" s="16"/>
      <c r="Q96" s="16"/>
    </row>
    <row r="97" spans="1:17" x14ac:dyDescent="0.45">
      <c r="A97" s="15">
        <v>95</v>
      </c>
      <c r="B97" s="15" t="s">
        <v>70</v>
      </c>
      <c r="C97" s="15" t="s">
        <v>249</v>
      </c>
      <c r="D97" s="15" t="s">
        <v>263</v>
      </c>
      <c r="E97" s="15" t="s">
        <v>115</v>
      </c>
      <c r="F97" s="15" t="s">
        <v>264</v>
      </c>
      <c r="G97" s="15"/>
      <c r="H97" s="16"/>
      <c r="I97" s="16"/>
      <c r="J97" s="16"/>
      <c r="K97" s="17" t="s">
        <v>108</v>
      </c>
      <c r="L97" s="17" t="s">
        <v>109</v>
      </c>
      <c r="M97" s="18"/>
      <c r="N97" s="19" t="str">
        <f t="shared" si="2"/>
        <v/>
      </c>
      <c r="O97" s="18"/>
      <c r="P97" s="16"/>
      <c r="Q97" s="16"/>
    </row>
    <row r="99" spans="1:17" x14ac:dyDescent="0.45">
      <c r="A99" s="2" t="s">
        <v>265</v>
      </c>
    </row>
  </sheetData>
  <autoFilter ref="A1:Q97" xr:uid="{00000000-0009-0000-0000-000002000000}"/>
  <dataValidations count="3">
    <dataValidation type="list" allowBlank="1" sqref="K2:K97" xr:uid="{00000000-0002-0000-0200-000000000000}">
      <formula1>"Y,N"</formula1>
    </dataValidation>
    <dataValidation type="list" allowBlank="1" sqref="L2:L97" xr:uid="{00000000-0002-0000-0200-000001000000}">
      <formula1>"new,address found,approved,sent,followed up,replied,done,declined,bounced"</formula1>
    </dataValidation>
    <dataValidation type="list" allowBlank="1" sqref="E2:E97" xr:uid="{00000000-0002-0000-0200-000002000000}">
      <formula1>"Christian,Islam,Hindu,Buddhist,Jewish,Sikh,Taoist,All"</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2"/>
  <sheetViews>
    <sheetView workbookViewId="0">
      <pane xSplit="2" ySplit="1" topLeftCell="C2" activePane="bottomRight" state="frozen"/>
      <selection pane="topRight"/>
      <selection pane="bottomLeft"/>
      <selection pane="bottomRight"/>
    </sheetView>
  </sheetViews>
  <sheetFormatPr defaultRowHeight="14.25" x14ac:dyDescent="0.45"/>
  <cols>
    <col min="1" max="1" width="5" customWidth="1"/>
    <col min="2" max="2" width="14" customWidth="1"/>
    <col min="3" max="3" width="10" customWidth="1"/>
    <col min="4" max="4" width="30" customWidth="1"/>
    <col min="5" max="5" width="16" customWidth="1"/>
    <col min="6" max="6" width="30" customWidth="1"/>
    <col min="7" max="7" width="14" customWidth="1"/>
    <col min="8" max="8" width="12" customWidth="1"/>
    <col min="9" max="9" width="44" customWidth="1"/>
    <col min="10" max="10" width="60" customWidth="1"/>
    <col min="11" max="12" width="9" customWidth="1"/>
    <col min="13" max="14" width="8" customWidth="1"/>
    <col min="15" max="16" width="12" customWidth="1"/>
  </cols>
  <sheetData>
    <row r="1" spans="1:16" ht="39.4" x14ac:dyDescent="0.45">
      <c r="A1" s="6" t="s">
        <v>79</v>
      </c>
      <c r="B1" s="6" t="s">
        <v>58</v>
      </c>
      <c r="C1" s="6" t="s">
        <v>266</v>
      </c>
      <c r="D1" s="6" t="s">
        <v>267</v>
      </c>
      <c r="E1" s="6" t="s">
        <v>268</v>
      </c>
      <c r="F1" s="6" t="s">
        <v>269</v>
      </c>
      <c r="G1" s="6" t="s">
        <v>270</v>
      </c>
      <c r="H1" s="6" t="s">
        <v>271</v>
      </c>
      <c r="I1" s="6" t="s">
        <v>272</v>
      </c>
      <c r="J1" s="6" t="s">
        <v>273</v>
      </c>
      <c r="K1" s="6" t="s">
        <v>274</v>
      </c>
      <c r="L1" s="6" t="s">
        <v>52</v>
      </c>
      <c r="M1" s="6" t="s">
        <v>53</v>
      </c>
      <c r="N1" s="6" t="s">
        <v>55</v>
      </c>
      <c r="O1" s="6" t="s">
        <v>275</v>
      </c>
      <c r="P1" s="6" t="s">
        <v>276</v>
      </c>
    </row>
    <row r="2" spans="1:16" ht="25.5" x14ac:dyDescent="0.45">
      <c r="A2" s="15" t="s">
        <v>95</v>
      </c>
      <c r="B2" s="15" t="s">
        <v>62</v>
      </c>
      <c r="C2" s="15" t="s">
        <v>277</v>
      </c>
      <c r="D2" s="15" t="s">
        <v>278</v>
      </c>
      <c r="E2" s="15" t="s">
        <v>279</v>
      </c>
      <c r="F2" s="15" t="s">
        <v>280</v>
      </c>
      <c r="G2" s="15" t="s">
        <v>281</v>
      </c>
      <c r="H2" s="20" t="s">
        <v>282</v>
      </c>
      <c r="I2" s="15" t="s">
        <v>283</v>
      </c>
      <c r="J2" s="15" t="s">
        <v>284</v>
      </c>
      <c r="K2" s="21">
        <f>COUNTIF(Organisations!$C$3:$C$97,A2)</f>
        <v>13</v>
      </c>
      <c r="L2" s="21">
        <f>COUNTIFS(Organisations!$C$3:$C$97,A2,Organisations!$K$3:$K$97,"Y")</f>
        <v>0</v>
      </c>
      <c r="M2" s="21">
        <f>COUNTIFS(Organisations!$C$3:$C$97,A2,Organisations!$M$3:$M$97,"&lt;&gt;")</f>
        <v>0</v>
      </c>
      <c r="N2" s="21">
        <f>COUNTIFS(Organisations!$C$3:$C$97,A2,Organisations!$O$3:$O$97,"&lt;&gt;")</f>
        <v>0</v>
      </c>
      <c r="O2" s="21">
        <f>SUMPRODUCT((Organisations!$C$3:$C$97=A2)*ISNUMBER(SEARCH("L",Organisations!$F$3:$F$97)))</f>
        <v>1</v>
      </c>
      <c r="P2" s="21">
        <f>SUMPRODUCT((Organisations!$C$3:$C$97=A2)*ISNUMBER(SEARCH("N",Organisations!$F$3:$F$97)))</f>
        <v>2</v>
      </c>
    </row>
    <row r="3" spans="1:16" ht="25.5" x14ac:dyDescent="0.45">
      <c r="A3" s="15" t="s">
        <v>138</v>
      </c>
      <c r="B3" s="15" t="s">
        <v>63</v>
      </c>
      <c r="C3" s="15" t="s">
        <v>277</v>
      </c>
      <c r="D3" s="15" t="s">
        <v>285</v>
      </c>
      <c r="E3" s="15" t="s">
        <v>286</v>
      </c>
      <c r="F3" s="15" t="s">
        <v>145</v>
      </c>
      <c r="G3" s="15" t="s">
        <v>281</v>
      </c>
      <c r="H3" s="20" t="s">
        <v>282</v>
      </c>
      <c r="I3" s="15" t="s">
        <v>287</v>
      </c>
      <c r="J3" s="15" t="s">
        <v>288</v>
      </c>
      <c r="K3" s="21">
        <f>COUNTIF(Organisations!$C$3:$C$97,A3)</f>
        <v>9</v>
      </c>
      <c r="L3" s="21">
        <f>COUNTIFS(Organisations!$C$3:$C$97,A3,Organisations!$K$3:$K$97,"Y")</f>
        <v>0</v>
      </c>
      <c r="M3" s="21">
        <f>COUNTIFS(Organisations!$C$3:$C$97,A3,Organisations!$M$3:$M$97,"&lt;&gt;")</f>
        <v>0</v>
      </c>
      <c r="N3" s="21">
        <f>COUNTIFS(Organisations!$C$3:$C$97,A3,Organisations!$O$3:$O$97,"&lt;&gt;")</f>
        <v>0</v>
      </c>
      <c r="O3" s="21">
        <f>SUMPRODUCT((Organisations!$C$3:$C$97=A3)*ISNUMBER(SEARCH("L",Organisations!$F$3:$F$97)))</f>
        <v>1</v>
      </c>
      <c r="P3" s="21">
        <f>SUMPRODUCT((Organisations!$C$3:$C$97=A3)*ISNUMBER(SEARCH("N",Organisations!$F$3:$F$97)))</f>
        <v>1</v>
      </c>
    </row>
    <row r="4" spans="1:16" ht="25.5" x14ac:dyDescent="0.45">
      <c r="A4" s="15" t="s">
        <v>152</v>
      </c>
      <c r="B4" s="15" t="s">
        <v>64</v>
      </c>
      <c r="C4" s="15" t="s">
        <v>277</v>
      </c>
      <c r="D4" s="15" t="s">
        <v>289</v>
      </c>
      <c r="E4" s="15" t="s">
        <v>290</v>
      </c>
      <c r="F4" s="15" t="s">
        <v>160</v>
      </c>
      <c r="G4" s="15" t="s">
        <v>281</v>
      </c>
      <c r="H4" s="20" t="s">
        <v>282</v>
      </c>
      <c r="I4" s="15" t="s">
        <v>291</v>
      </c>
      <c r="J4" s="15" t="s">
        <v>292</v>
      </c>
      <c r="K4" s="21">
        <f>COUNTIF(Organisations!$C$3:$C$97,A4)</f>
        <v>8</v>
      </c>
      <c r="L4" s="21">
        <f>COUNTIFS(Organisations!$C$3:$C$97,A4,Organisations!$K$3:$K$97,"Y")</f>
        <v>0</v>
      </c>
      <c r="M4" s="21">
        <f>COUNTIFS(Organisations!$C$3:$C$97,A4,Organisations!$M$3:$M$97,"&lt;&gt;")</f>
        <v>0</v>
      </c>
      <c r="N4" s="21">
        <f>COUNTIFS(Organisations!$C$3:$C$97,A4,Organisations!$O$3:$O$97,"&lt;&gt;")</f>
        <v>0</v>
      </c>
      <c r="O4" s="21">
        <f>SUMPRODUCT((Organisations!$C$3:$C$97=A4)*ISNUMBER(SEARCH("L",Organisations!$F$3:$F$97)))</f>
        <v>1</v>
      </c>
      <c r="P4" s="21">
        <f>SUMPRODUCT((Organisations!$C$3:$C$97=A4)*ISNUMBER(SEARCH("N",Organisations!$F$3:$F$97)))</f>
        <v>1</v>
      </c>
    </row>
    <row r="5" spans="1:16" ht="25.5" x14ac:dyDescent="0.45">
      <c r="A5" s="15" t="s">
        <v>164</v>
      </c>
      <c r="B5" s="15" t="s">
        <v>65</v>
      </c>
      <c r="C5" s="15" t="s">
        <v>293</v>
      </c>
      <c r="D5" s="15" t="s">
        <v>294</v>
      </c>
      <c r="E5" s="15" t="s">
        <v>295</v>
      </c>
      <c r="F5" s="15" t="s">
        <v>296</v>
      </c>
      <c r="G5" s="15" t="s">
        <v>281</v>
      </c>
      <c r="H5" s="20" t="s">
        <v>282</v>
      </c>
      <c r="I5" s="15" t="s">
        <v>297</v>
      </c>
      <c r="J5" s="15" t="s">
        <v>298</v>
      </c>
      <c r="K5" s="21">
        <f>COUNTIF(Organisations!$C$3:$C$97,A5)</f>
        <v>15</v>
      </c>
      <c r="L5" s="21">
        <f>COUNTIFS(Organisations!$C$3:$C$97,A5,Organisations!$K$3:$K$97,"Y")</f>
        <v>0</v>
      </c>
      <c r="M5" s="21">
        <f>COUNTIFS(Organisations!$C$3:$C$97,A5,Organisations!$M$3:$M$97,"&lt;&gt;")</f>
        <v>0</v>
      </c>
      <c r="N5" s="21">
        <f>COUNTIFS(Organisations!$C$3:$C$97,A5,Organisations!$O$3:$O$97,"&lt;&gt;")</f>
        <v>0</v>
      </c>
      <c r="O5" s="21">
        <f>SUMPRODUCT((Organisations!$C$3:$C$97=A5)*ISNUMBER(SEARCH("L",Organisations!$F$3:$F$97)))</f>
        <v>2</v>
      </c>
      <c r="P5" s="21">
        <f>SUMPRODUCT((Organisations!$C$3:$C$97=A5)*ISNUMBER(SEARCH("N",Organisations!$F$3:$F$97)))</f>
        <v>2</v>
      </c>
    </row>
    <row r="6" spans="1:16" ht="25.5" x14ac:dyDescent="0.45">
      <c r="A6" s="15" t="s">
        <v>188</v>
      </c>
      <c r="B6" s="15" t="s">
        <v>66</v>
      </c>
      <c r="C6" s="15" t="s">
        <v>293</v>
      </c>
      <c r="D6" s="15" t="s">
        <v>299</v>
      </c>
      <c r="E6" s="15" t="s">
        <v>300</v>
      </c>
      <c r="F6" s="15" t="s">
        <v>301</v>
      </c>
      <c r="G6" s="15" t="s">
        <v>281</v>
      </c>
      <c r="H6" s="20" t="s">
        <v>282</v>
      </c>
      <c r="I6" s="15" t="s">
        <v>302</v>
      </c>
      <c r="J6" s="15" t="s">
        <v>303</v>
      </c>
      <c r="K6" s="21">
        <f>COUNTIF(Organisations!$C$3:$C$97,A6)</f>
        <v>8</v>
      </c>
      <c r="L6" s="21">
        <f>COUNTIFS(Organisations!$C$3:$C$97,A6,Organisations!$K$3:$K$97,"Y")</f>
        <v>0</v>
      </c>
      <c r="M6" s="21">
        <f>COUNTIFS(Organisations!$C$3:$C$97,A6,Organisations!$M$3:$M$97,"&lt;&gt;")</f>
        <v>0</v>
      </c>
      <c r="N6" s="21">
        <f>COUNTIFS(Organisations!$C$3:$C$97,A6,Organisations!$O$3:$O$97,"&lt;&gt;")</f>
        <v>0</v>
      </c>
      <c r="O6" s="21">
        <f>SUMPRODUCT((Organisations!$C$3:$C$97=A6)*ISNUMBER(SEARCH("L",Organisations!$F$3:$F$97)))</f>
        <v>3</v>
      </c>
      <c r="P6" s="21">
        <f>SUMPRODUCT((Organisations!$C$3:$C$97=A6)*ISNUMBER(SEARCH("N",Organisations!$F$3:$F$97)))</f>
        <v>1</v>
      </c>
    </row>
    <row r="7" spans="1:16" ht="25.5" x14ac:dyDescent="0.45">
      <c r="A7" s="15" t="s">
        <v>201</v>
      </c>
      <c r="B7" s="15" t="s">
        <v>67</v>
      </c>
      <c r="C7" s="15" t="s">
        <v>293</v>
      </c>
      <c r="D7" s="15" t="s">
        <v>304</v>
      </c>
      <c r="E7" s="15" t="s">
        <v>305</v>
      </c>
      <c r="F7" s="15" t="s">
        <v>306</v>
      </c>
      <c r="G7" s="15" t="s">
        <v>281</v>
      </c>
      <c r="H7" s="20" t="s">
        <v>282</v>
      </c>
      <c r="I7" s="15" t="s">
        <v>307</v>
      </c>
      <c r="J7" s="15" t="s">
        <v>308</v>
      </c>
      <c r="K7" s="21">
        <f>COUNTIF(Organisations!$C$3:$C$97,A7)</f>
        <v>8</v>
      </c>
      <c r="L7" s="21">
        <f>COUNTIFS(Organisations!$C$3:$C$97,A7,Organisations!$K$3:$K$97,"Y")</f>
        <v>0</v>
      </c>
      <c r="M7" s="21">
        <f>COUNTIFS(Organisations!$C$3:$C$97,A7,Organisations!$M$3:$M$97,"&lt;&gt;")</f>
        <v>0</v>
      </c>
      <c r="N7" s="21">
        <f>COUNTIFS(Organisations!$C$3:$C$97,A7,Organisations!$O$3:$O$97,"&lt;&gt;")</f>
        <v>0</v>
      </c>
      <c r="O7" s="21">
        <f>SUMPRODUCT((Organisations!$C$3:$C$97=A7)*ISNUMBER(SEARCH("L",Organisations!$F$3:$F$97)))</f>
        <v>1</v>
      </c>
      <c r="P7" s="21">
        <f>SUMPRODUCT((Organisations!$C$3:$C$97=A7)*ISNUMBER(SEARCH("N",Organisations!$F$3:$F$97)))</f>
        <v>2</v>
      </c>
    </row>
    <row r="8" spans="1:16" ht="25.5" x14ac:dyDescent="0.45">
      <c r="A8" s="15" t="s">
        <v>215</v>
      </c>
      <c r="B8" s="15" t="s">
        <v>68</v>
      </c>
      <c r="C8" s="15" t="s">
        <v>309</v>
      </c>
      <c r="D8" s="15" t="s">
        <v>310</v>
      </c>
      <c r="E8" s="15" t="s">
        <v>311</v>
      </c>
      <c r="F8" s="15"/>
      <c r="G8" s="15" t="s">
        <v>312</v>
      </c>
      <c r="H8" s="20" t="s">
        <v>282</v>
      </c>
      <c r="I8" s="15" t="s">
        <v>313</v>
      </c>
      <c r="J8" s="15" t="s">
        <v>314</v>
      </c>
      <c r="K8" s="21">
        <f>COUNTIF(Organisations!$C$3:$C$97,A8)</f>
        <v>12</v>
      </c>
      <c r="L8" s="21">
        <f>COUNTIFS(Organisations!$C$3:$C$97,A8,Organisations!$K$3:$K$97,"Y")</f>
        <v>0</v>
      </c>
      <c r="M8" s="21">
        <f>COUNTIFS(Organisations!$C$3:$C$97,A8,Organisations!$M$3:$M$97,"&lt;&gt;")</f>
        <v>0</v>
      </c>
      <c r="N8" s="21">
        <f>COUNTIFS(Organisations!$C$3:$C$97,A8,Organisations!$O$3:$O$97,"&lt;&gt;")</f>
        <v>0</v>
      </c>
      <c r="O8" s="21">
        <f>SUMPRODUCT((Organisations!$C$3:$C$97=A8)*ISNUMBER(SEARCH("L",Organisations!$F$3:$F$97)))</f>
        <v>2</v>
      </c>
      <c r="P8" s="21">
        <f>SUMPRODUCT((Organisations!$C$3:$C$97=A8)*ISNUMBER(SEARCH("N",Organisations!$F$3:$F$97)))</f>
        <v>3</v>
      </c>
    </row>
    <row r="9" spans="1:16" ht="25.5" x14ac:dyDescent="0.45">
      <c r="A9" s="15" t="s">
        <v>234</v>
      </c>
      <c r="B9" s="15" t="s">
        <v>69</v>
      </c>
      <c r="C9" s="15" t="s">
        <v>309</v>
      </c>
      <c r="D9" s="15" t="s">
        <v>315</v>
      </c>
      <c r="E9" s="15" t="s">
        <v>316</v>
      </c>
      <c r="F9" s="15" t="s">
        <v>317</v>
      </c>
      <c r="G9" s="15" t="s">
        <v>281</v>
      </c>
      <c r="H9" s="20" t="s">
        <v>282</v>
      </c>
      <c r="I9" s="15" t="s">
        <v>318</v>
      </c>
      <c r="J9" s="15" t="s">
        <v>319</v>
      </c>
      <c r="K9" s="21">
        <f>COUNTIF(Organisations!$C$3:$C$97,A9)</f>
        <v>10</v>
      </c>
      <c r="L9" s="21">
        <f>COUNTIFS(Organisations!$C$3:$C$97,A9,Organisations!$K$3:$K$97,"Y")</f>
        <v>0</v>
      </c>
      <c r="M9" s="21">
        <f>COUNTIFS(Organisations!$C$3:$C$97,A9,Organisations!$M$3:$M$97,"&lt;&gt;")</f>
        <v>0</v>
      </c>
      <c r="N9" s="21">
        <f>COUNTIFS(Organisations!$C$3:$C$97,A9,Organisations!$O$3:$O$97,"&lt;&gt;")</f>
        <v>0</v>
      </c>
      <c r="O9" s="21">
        <f>SUMPRODUCT((Organisations!$C$3:$C$97=A9)*ISNUMBER(SEARCH("L",Organisations!$F$3:$F$97)))</f>
        <v>2</v>
      </c>
      <c r="P9" s="21">
        <f>SUMPRODUCT((Organisations!$C$3:$C$97=A9)*ISNUMBER(SEARCH("N",Organisations!$F$3:$F$97)))</f>
        <v>1</v>
      </c>
    </row>
    <row r="10" spans="1:16" ht="25.5" x14ac:dyDescent="0.45">
      <c r="A10" s="15" t="s">
        <v>249</v>
      </c>
      <c r="B10" s="15" t="s">
        <v>70</v>
      </c>
      <c r="C10" s="15" t="s">
        <v>309</v>
      </c>
      <c r="D10" s="15" t="s">
        <v>320</v>
      </c>
      <c r="E10" s="15" t="s">
        <v>321</v>
      </c>
      <c r="F10" s="15" t="s">
        <v>322</v>
      </c>
      <c r="G10" s="15" t="s">
        <v>281</v>
      </c>
      <c r="H10" s="20" t="s">
        <v>282</v>
      </c>
      <c r="I10" s="15" t="s">
        <v>323</v>
      </c>
      <c r="J10" s="15" t="s">
        <v>324</v>
      </c>
      <c r="K10" s="21">
        <f>COUNTIF(Organisations!$C$3:$C$97,A10)</f>
        <v>12</v>
      </c>
      <c r="L10" s="21">
        <f>COUNTIFS(Organisations!$C$3:$C$97,A10,Organisations!$K$3:$K$97,"Y")</f>
        <v>0</v>
      </c>
      <c r="M10" s="21">
        <f>COUNTIFS(Organisations!$C$3:$C$97,A10,Organisations!$M$3:$M$97,"&lt;&gt;")</f>
        <v>0</v>
      </c>
      <c r="N10" s="21">
        <f>COUNTIFS(Organisations!$C$3:$C$97,A10,Organisations!$O$3:$O$97,"&lt;&gt;")</f>
        <v>0</v>
      </c>
      <c r="O10" s="21">
        <f>SUMPRODUCT((Organisations!$C$3:$C$97=A10)*ISNUMBER(SEARCH("L",Organisations!$F$3:$F$97)))</f>
        <v>2</v>
      </c>
      <c r="P10" s="21">
        <f>SUMPRODUCT((Organisations!$C$3:$C$97=A10)*ISNUMBER(SEARCH("N",Organisations!$F$3:$F$97)))</f>
        <v>1</v>
      </c>
    </row>
    <row r="12" spans="1:16" x14ac:dyDescent="0.45">
      <c r="A12" s="2" t="s">
        <v>325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7"/>
  <sheetViews>
    <sheetView workbookViewId="0"/>
  </sheetViews>
  <sheetFormatPr defaultRowHeight="14.25" x14ac:dyDescent="0.45"/>
  <cols>
    <col min="1" max="1" width="110" customWidth="1"/>
  </cols>
  <sheetData>
    <row r="1" spans="1:1" ht="17.649999999999999" x14ac:dyDescent="0.5">
      <c r="A1" s="1" t="s">
        <v>326</v>
      </c>
    </row>
    <row r="2" spans="1:1" ht="23.25" x14ac:dyDescent="0.45">
      <c r="A2" s="22" t="s">
        <v>327</v>
      </c>
    </row>
    <row r="4" spans="1:1" x14ac:dyDescent="0.45">
      <c r="A4" s="5" t="s">
        <v>328</v>
      </c>
    </row>
    <row r="5" spans="1:1" ht="409.05" customHeight="1" x14ac:dyDescent="0.45">
      <c r="A5" s="4" t="s">
        <v>329</v>
      </c>
    </row>
    <row r="7" spans="1:1" x14ac:dyDescent="0.45">
      <c r="A7" s="5" t="s">
        <v>330</v>
      </c>
    </row>
    <row r="8" spans="1:1" ht="195" customHeight="1" x14ac:dyDescent="0.45">
      <c r="A8" s="4" t="s">
        <v>331</v>
      </c>
    </row>
    <row r="10" spans="1:1" x14ac:dyDescent="0.45">
      <c r="A10" s="5" t="s">
        <v>332</v>
      </c>
    </row>
    <row r="11" spans="1:1" ht="409.05" customHeight="1" x14ac:dyDescent="0.45">
      <c r="A11" s="4" t="s">
        <v>333</v>
      </c>
    </row>
    <row r="13" spans="1:1" x14ac:dyDescent="0.45">
      <c r="A13" s="5" t="s">
        <v>334</v>
      </c>
    </row>
    <row r="14" spans="1:1" ht="409.05" customHeight="1" x14ac:dyDescent="0.45">
      <c r="A14" s="4" t="s">
        <v>335</v>
      </c>
    </row>
    <row r="16" spans="1:1" x14ac:dyDescent="0.45">
      <c r="A16" s="5" t="s">
        <v>336</v>
      </c>
    </row>
    <row r="17" spans="1:1" ht="409.05" customHeight="1" x14ac:dyDescent="0.45">
      <c r="A17" s="4" t="s">
        <v>337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workbookViewId="0">
      <pane ySplit="1" topLeftCell="A2" activePane="bottomLeft" state="frozen"/>
      <selection pane="bottomLeft"/>
    </sheetView>
  </sheetViews>
  <sheetFormatPr defaultRowHeight="14.25" x14ac:dyDescent="0.45"/>
  <cols>
    <col min="1" max="1" width="12" customWidth="1"/>
    <col min="2" max="2" width="5" customWidth="1"/>
    <col min="3" max="3" width="40" customWidth="1"/>
    <col min="4" max="4" width="12" customWidth="1"/>
    <col min="5" max="5" width="26" customWidth="1"/>
    <col min="6" max="6" width="14" customWidth="1"/>
    <col min="7" max="7" width="60" customWidth="1"/>
  </cols>
  <sheetData>
    <row r="1" spans="1:7" ht="26.25" x14ac:dyDescent="0.45">
      <c r="A1" s="6" t="s">
        <v>338</v>
      </c>
      <c r="B1" s="6" t="s">
        <v>79</v>
      </c>
      <c r="C1" s="6" t="s">
        <v>80</v>
      </c>
      <c r="D1" s="6" t="s">
        <v>339</v>
      </c>
      <c r="E1" s="6" t="s">
        <v>340</v>
      </c>
      <c r="F1" s="6" t="s">
        <v>341</v>
      </c>
      <c r="G1" s="6" t="s">
        <v>342</v>
      </c>
    </row>
    <row r="2" spans="1:7" x14ac:dyDescent="0.45">
      <c r="A2" s="23">
        <f>DATE(2026,9,15)</f>
        <v>46280</v>
      </c>
      <c r="B2" s="2" t="s">
        <v>95</v>
      </c>
      <c r="C2" s="2" t="s">
        <v>343</v>
      </c>
      <c r="D2" s="2" t="s">
        <v>98</v>
      </c>
      <c r="E2" s="2" t="s">
        <v>104</v>
      </c>
      <c r="F2" s="2" t="s">
        <v>344</v>
      </c>
      <c r="G2" s="2"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Organisations</vt:lpstr>
      <vt:lpstr>Countries</vt:lpstr>
      <vt:lpstr>Templates</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shaurav choudhury</cp:lastModifiedBy>
  <dcterms:created xsi:type="dcterms:W3CDTF">2026-09-13T16:16:15Z</dcterms:created>
  <dcterms:modified xsi:type="dcterms:W3CDTF">2026-09-13T16:16:45Z</dcterms:modified>
</cp:coreProperties>
</file>